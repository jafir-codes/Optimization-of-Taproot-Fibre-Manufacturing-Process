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fir\Downloads\improvement\"/>
    </mc:Choice>
  </mc:AlternateContent>
  <xr:revisionPtr revIDLastSave="0" documentId="13_ncr:1_{56C8D18B-E5D7-4A58-AE30-0651F3CE8E0A}" xr6:coauthVersionLast="47" xr6:coauthVersionMax="47" xr10:uidLastSave="{00000000-0000-0000-0000-000000000000}"/>
  <bookViews>
    <workbookView xWindow="-108" yWindow="-108" windowWidth="23256" windowHeight="12456" tabRatio="597" xr2:uid="{DDF34D84-D778-4B43-9257-4DAB9F7E8707}"/>
  </bookViews>
  <sheets>
    <sheet name="final c2 (2)" sheetId="42" r:id="rId1"/>
    <sheet name="final c6 (3)" sheetId="41" r:id="rId2"/>
    <sheet name="Sheet1" sheetId="43" r:id="rId3"/>
    <sheet name="final c5 (2)" sheetId="40" r:id="rId4"/>
    <sheet name="final c4" sheetId="35" r:id="rId5"/>
    <sheet name="final c3" sheetId="34" r:id="rId6"/>
  </sheets>
  <definedNames>
    <definedName name="OpenSolver_ChosenSolver" localSheetId="0" hidden="1">Gurobi</definedName>
    <definedName name="OpenSolver_ChosenSolver" localSheetId="5" hidden="1">Gurobi</definedName>
    <definedName name="OpenSolver_ChosenSolver" localSheetId="4" hidden="1">Gurobi</definedName>
    <definedName name="OpenSolver_ChosenSolver" localSheetId="3" hidden="1">Gurobi</definedName>
    <definedName name="OpenSolver_ChosenSolver" localSheetId="1" hidden="1">Gurobi</definedName>
    <definedName name="OpenSolver_DualsNewSheet" localSheetId="0" hidden="1">0</definedName>
    <definedName name="OpenSolver_DualsNewSheet" localSheetId="5" hidden="1">0</definedName>
    <definedName name="OpenSolver_DualsNewSheet" localSheetId="4" hidden="1">0</definedName>
    <definedName name="OpenSolver_DualsNewSheet" localSheetId="3" hidden="1">0</definedName>
    <definedName name="OpenSolver_DualsNewSheet" localSheetId="1" hidden="1">0</definedName>
    <definedName name="OpenSolver_LinearityCheck" localSheetId="0" hidden="1">1</definedName>
    <definedName name="OpenSolver_LinearityCheck" localSheetId="5" hidden="1">1</definedName>
    <definedName name="OpenSolver_LinearityCheck" localSheetId="4" hidden="1">1</definedName>
    <definedName name="OpenSolver_LinearityCheck" localSheetId="3" hidden="1">1</definedName>
    <definedName name="OpenSolver_LinearityCheck" localSheetId="1" hidden="1">1</definedName>
    <definedName name="OpenSolver_UpdateSensitivity" localSheetId="0" hidden="1">1</definedName>
    <definedName name="OpenSolver_UpdateSensitivity" localSheetId="5" hidden="1">1</definedName>
    <definedName name="OpenSolver_UpdateSensitivity" localSheetId="4" hidden="1">1</definedName>
    <definedName name="OpenSolver_UpdateSensitivity" localSheetId="3" hidden="1">1</definedName>
    <definedName name="OpenSolver_UpdateSensitivity" localSheetId="1" hidden="1">1</definedName>
    <definedName name="solver_adj" localSheetId="0" hidden="1">'final c2 (2)'!$AL$3:$AR$8,'final c2 (2)'!$AD$3:$AJ$8,'final c2 (2)'!$B$2:$C$4,'final c2 (2)'!$I$2:$J$4,'final c2 (2)'!$B$16:$P$18,'final c2 (2)'!$AT$3:$AY$8,'final c2 (2)'!$BA$3:$BE$8,'final c2 (2)'!$BG$3:$BI$8,'final c2 (2)'!$BK$3:$BM$8,'final c2 (2)'!$BO$3:$BP$8,'final c2 (2)'!$BR$3:$BR$8</definedName>
    <definedName name="solver_adj" localSheetId="5" hidden="1">'final c3'!$AL$3:$AR$8,'final c3'!$AD$3:$AJ$8,'final c3'!$B$2:$C$4,'final c3'!$I$2:$J$4,'final c3'!$B$16:$P$18,'final c3'!$AT$3:$AY$8,'final c3'!$BA$3:$BE$8,'final c3'!$BG$3:$BI$8,'final c3'!$BK$3:$BM$8,'final c3'!$BO$3:$BP$8,'final c3'!$BR$3:$BR$8</definedName>
    <definedName name="solver_adj" localSheetId="4" hidden="1">'final c4'!$B$16:$P$19,'final c4'!$B$2:$C$5,'final c4'!$I$2:$J$5,'final c4'!$AD$3:$AJ$14,'final c4'!$AL$3:$AR$14,'final c4'!$AT$3:$AY$14,'final c4'!$BA$3:$BE$14,'final c4'!$BG$3:$BI$14,'final c4'!$BK$3:$BM$14,'final c4'!$BO$3:$BP$14,'final c4'!$BR$3:$BR$14</definedName>
    <definedName name="solver_adj" localSheetId="3" hidden="1">'final c5 (2)'!$B$2:$C$6,'final c5 (2)'!$I$2:$J$6,'final c5 (2)'!$B$17,'final c5 (2)'!$B$16:$P$20,'final c5 (2)'!$AD$3:$AJ$22,'final c5 (2)'!$AL$3:$AR$22,'final c5 (2)'!$AT$3:$AY$22,'final c5 (2)'!$BA$3:$BE$22,'final c5 (2)'!$BG$3:$BI$22,'final c5 (2)'!$BK$3:$BM$22,'final c5 (2)'!$BO$3:$BP$22,'final c5 (2)'!$BR$3:$BR$22</definedName>
    <definedName name="solver_adj" localSheetId="1" hidden="1">'final c6 (3)'!$F$25,'final c6 (3)'!$B$2:$C$7,'final c6 (3)'!$I$2:$J$7,'final c6 (3)'!$B$16:$P$21,'final c6 (3)'!$AD$3:$AJ$32,'final c6 (3)'!$AL$3:$AR$32,'final c6 (3)'!$AT$3:$AY$32,'final c6 (3)'!$BA$3:$BE$32,'final c6 (3)'!$BG$3:$BI$32,'final c6 (3)'!$BK$3:$BM$32,'final c6 (3)'!$BO$3:$BP$32,'final c6 (3)'!$BR$3:$BR$32</definedName>
    <definedName name="solver_cvg" localSheetId="0" hidden="1">0.0001</definedName>
    <definedName name="solver_cvg" localSheetId="5" hidden="1">0.0001</definedName>
    <definedName name="solver_cvg" localSheetId="4" hidden="1">0.0001</definedName>
    <definedName name="solver_cvg" localSheetId="3" hidden="1">0.0001</definedName>
    <definedName name="solver_cvg" localSheetId="1" hidden="1">0.0001</definedName>
    <definedName name="solver_drv" localSheetId="0" hidden="1">1</definedName>
    <definedName name="solver_drv" localSheetId="5" hidden="1">1</definedName>
    <definedName name="solver_drv" localSheetId="4" hidden="1">1</definedName>
    <definedName name="solver_drv" localSheetId="3" hidden="1">1</definedName>
    <definedName name="solver_drv" localSheetId="1" hidden="1">1</definedName>
    <definedName name="solver_est" localSheetId="0" hidden="1">1</definedName>
    <definedName name="solver_est" localSheetId="5" hidden="1">1</definedName>
    <definedName name="solver_est" localSheetId="4" hidden="1">1</definedName>
    <definedName name="solver_est" localSheetId="3" hidden="1">1</definedName>
    <definedName name="solver_est" localSheetId="1" hidden="1">1</definedName>
    <definedName name="solver_itr" localSheetId="0" hidden="1">2147483647</definedName>
    <definedName name="solver_itr" localSheetId="5" hidden="1">2147483647</definedName>
    <definedName name="solver_itr" localSheetId="4" hidden="1">2147483647</definedName>
    <definedName name="solver_itr" localSheetId="3" hidden="1">2147483647</definedName>
    <definedName name="solver_itr" localSheetId="1" hidden="1">2147483647</definedName>
    <definedName name="solver_lhs1" localSheetId="0" hidden="1">'final c2 (2)'!$AD$3:$AJ$8</definedName>
    <definedName name="solver_lhs1" localSheetId="5" hidden="1">'final c3'!$AD$3:$AJ$8</definedName>
    <definedName name="solver_lhs1" localSheetId="4" hidden="1">'final c4'!$AD$3:$AJ$14</definedName>
    <definedName name="solver_lhs1" localSheetId="3" hidden="1">'final c5 (2)'!$AD$3:$AJ$22</definedName>
    <definedName name="solver_lhs1" localSheetId="1" hidden="1">'final c6 (3)'!$AD$3:$AJ$32</definedName>
    <definedName name="solver_lhs10" localSheetId="0" hidden="1">'final c2 (2)'!$V$26:$AA$26</definedName>
    <definedName name="solver_lhs10" localSheetId="5" hidden="1">'final c3'!$V$26:$AA$26</definedName>
    <definedName name="solver_lhs10" localSheetId="4" hidden="1">'final c4'!$V$26:$AA$26</definedName>
    <definedName name="solver_lhs10" localSheetId="3" hidden="1">'final c5 (2)'!$V$26:$AA$26</definedName>
    <definedName name="solver_lhs10" localSheetId="1" hidden="1">'final c6 (3)'!$V$26:$AA$26</definedName>
    <definedName name="solver_lhs100" localSheetId="4" hidden="1">'final c4'!$BG$17:$BI$22</definedName>
    <definedName name="solver_lhs100" localSheetId="3" hidden="1">'final c5 (2)'!$D$99:$J$100</definedName>
    <definedName name="solver_lhs100" localSheetId="1" hidden="1">'final c6 (3)'!$D$99:$J$100</definedName>
    <definedName name="solver_lhs101" localSheetId="4" hidden="1">'final c4'!$BK$17:$BM$22</definedName>
    <definedName name="solver_lhs101" localSheetId="3" hidden="1">'final c5 (2)'!$E$101:$J$101</definedName>
    <definedName name="solver_lhs101" localSheetId="1" hidden="1">'final c6 (3)'!$E$101:$J$101</definedName>
    <definedName name="solver_lhs102" localSheetId="4" hidden="1">'final c4'!$BO$17:$BP$22</definedName>
    <definedName name="solver_lhs102" localSheetId="3" hidden="1">'final c5 (2)'!$F$102:$J$102</definedName>
    <definedName name="solver_lhs102" localSheetId="1" hidden="1">'final c6 (3)'!$F$102:$J$102</definedName>
    <definedName name="solver_lhs103" localSheetId="4" hidden="1">'final c4'!$BR$17:$BR$22</definedName>
    <definedName name="solver_lhs103" localSheetId="3" hidden="1">'final c5 (2)'!$H$103:$J$104</definedName>
    <definedName name="solver_lhs103" localSheetId="1" hidden="1">'final c6 (3)'!$H$103:$J$104</definedName>
    <definedName name="solver_lhs104" localSheetId="4" hidden="1">'final c4'!$C$30:$C$33</definedName>
    <definedName name="solver_lhs104" localSheetId="3" hidden="1">'final c5 (2)'!$I$105:$J$105</definedName>
    <definedName name="solver_lhs104" localSheetId="1" hidden="1">'final c6 (3)'!$I$105:$J$105</definedName>
    <definedName name="solver_lhs105" localSheetId="4" hidden="1">'final c4'!$E$30:$E$33</definedName>
    <definedName name="solver_lhs105" localSheetId="3" hidden="1">'final c5 (2)'!$J$106</definedName>
    <definedName name="solver_lhs105" localSheetId="1" hidden="1">'final c6 (3)'!$J$106</definedName>
    <definedName name="solver_lhs106" localSheetId="4" hidden="1">'final c4'!$G$30:$G$33</definedName>
    <definedName name="solver_lhs106" localSheetId="3" hidden="1">'final c5 (2)'!$D$111:$J$112</definedName>
    <definedName name="solver_lhs106" localSheetId="1" hidden="1">'final c6 (3)'!$D$111:$J$112</definedName>
    <definedName name="solver_lhs107" localSheetId="4" hidden="1">'final c4'!$J$30:$J$33</definedName>
    <definedName name="solver_lhs107" localSheetId="3" hidden="1">'final c5 (2)'!$E$113:$J$113</definedName>
    <definedName name="solver_lhs107" localSheetId="1" hidden="1">'final c6 (3)'!$E$113:$J$113</definedName>
    <definedName name="solver_lhs108" localSheetId="4" hidden="1">'final c4'!$L$30:$L$33</definedName>
    <definedName name="solver_lhs108" localSheetId="3" hidden="1">'final c5 (2)'!$F$114:$J$114</definedName>
    <definedName name="solver_lhs108" localSheetId="1" hidden="1">'final c6 (3)'!$F$114:$J$114</definedName>
    <definedName name="solver_lhs109" localSheetId="4" hidden="1">'final c4'!$N$30:$N$33</definedName>
    <definedName name="solver_lhs109" localSheetId="3" hidden="1">'final c5 (2)'!$H$115:$J$116</definedName>
    <definedName name="solver_lhs109" localSheetId="1" hidden="1">'final c6 (3)'!$H$115:$J$116</definedName>
    <definedName name="solver_lhs11" localSheetId="0" hidden="1">'final c2 (2)'!$W$27:$AA$27</definedName>
    <definedName name="solver_lhs11" localSheetId="5" hidden="1">'final c3'!$W$27:$AA$27</definedName>
    <definedName name="solver_lhs11" localSheetId="4" hidden="1">'final c4'!$W$27:$AA$27</definedName>
    <definedName name="solver_lhs11" localSheetId="3" hidden="1">'final c5 (2)'!$W$27:$AA$27</definedName>
    <definedName name="solver_lhs11" localSheetId="1" hidden="1">'final c6 (3)'!$W$27:$AA$27</definedName>
    <definedName name="solver_lhs110" localSheetId="3" hidden="1">'final c5 (2)'!$I$117:$J$117</definedName>
    <definedName name="solver_lhs110" localSheetId="1" hidden="1">'final c6 (3)'!$I$117:$J$117</definedName>
    <definedName name="solver_lhs111" localSheetId="3" hidden="1">'final c5 (2)'!$J$118</definedName>
    <definedName name="solver_lhs111" localSheetId="1" hidden="1">'final c6 (3)'!$J$118</definedName>
    <definedName name="solver_lhs112" localSheetId="3" hidden="1">'final c5 (2)'!$D$123:$J$124</definedName>
    <definedName name="solver_lhs112" localSheetId="1" hidden="1">'final c6 (3)'!$D$123:$J$124</definedName>
    <definedName name="solver_lhs113" localSheetId="3" hidden="1">'final c5 (2)'!$E$125:$J$125</definedName>
    <definedName name="solver_lhs113" localSheetId="1" hidden="1">'final c6 (3)'!$E$125:$J$125</definedName>
    <definedName name="solver_lhs114" localSheetId="3" hidden="1">'final c5 (2)'!$F$126:$J$126</definedName>
    <definedName name="solver_lhs114" localSheetId="1" hidden="1">'final c6 (3)'!$F$126:$J$126</definedName>
    <definedName name="solver_lhs115" localSheetId="3" hidden="1">'final c5 (2)'!$H$127:$J$128</definedName>
    <definedName name="solver_lhs115" localSheetId="1" hidden="1">'final c6 (3)'!$H$127:$J$128</definedName>
    <definedName name="solver_lhs116" localSheetId="3" hidden="1">'final c5 (2)'!$I$129:$J$129</definedName>
    <definedName name="solver_lhs116" localSheetId="1" hidden="1">'final c6 (3)'!$I$129:$J$129</definedName>
    <definedName name="solver_lhs117" localSheetId="3" hidden="1">'final c5 (2)'!$J$130</definedName>
    <definedName name="solver_lhs117" localSheetId="1" hidden="1">'final c6 (3)'!$J$130</definedName>
    <definedName name="solver_lhs118" localSheetId="3" hidden="1">'final c5 (2)'!$D$135:$J$136</definedName>
    <definedName name="solver_lhs118" localSheetId="1" hidden="1">'final c6 (3)'!$D$135:$J$136</definedName>
    <definedName name="solver_lhs119" localSheetId="3" hidden="1">'final c5 (2)'!$E$137:$J$137</definedName>
    <definedName name="solver_lhs119" localSheetId="1" hidden="1">'final c6 (3)'!$E$137:$J$137</definedName>
    <definedName name="solver_lhs12" localSheetId="0" hidden="1">'final c2 (2)'!$Y$28:$AA$29</definedName>
    <definedName name="solver_lhs12" localSheetId="5" hidden="1">'final c3'!$Y$28:$AA$29</definedName>
    <definedName name="solver_lhs12" localSheetId="4" hidden="1">'final c4'!$Y$28:$AA$29</definedName>
    <definedName name="solver_lhs12" localSheetId="3" hidden="1">'final c5 (2)'!$Y$28:$AA$29</definedName>
    <definedName name="solver_lhs12" localSheetId="1" hidden="1">'final c6 (3)'!$Y$28:$AA$29</definedName>
    <definedName name="solver_lhs120" localSheetId="3" hidden="1">'final c5 (2)'!$F$138:$J$138</definedName>
    <definedName name="solver_lhs120" localSheetId="1" hidden="1">'final c6 (3)'!$F$138:$J$138</definedName>
    <definedName name="solver_lhs121" localSheetId="3" hidden="1">'final c5 (2)'!$H$139:$J$140</definedName>
    <definedName name="solver_lhs121" localSheetId="1" hidden="1">'final c6 (3)'!$H$139:$J$140</definedName>
    <definedName name="solver_lhs122" localSheetId="3" hidden="1">'final c5 (2)'!$I$141:$J$141</definedName>
    <definedName name="solver_lhs122" localSheetId="1" hidden="1">'final c6 (3)'!$I$141:$J$141</definedName>
    <definedName name="solver_lhs123" localSheetId="3" hidden="1">'final c5 (2)'!$J$142</definedName>
    <definedName name="solver_lhs123" localSheetId="1" hidden="1">'final c6 (3)'!$J$142</definedName>
    <definedName name="solver_lhs124" localSheetId="3" hidden="1">'final c5 (2)'!$D$147:$J$148</definedName>
    <definedName name="solver_lhs124" localSheetId="1" hidden="1">'final c6 (3)'!$D$147:$J$148</definedName>
    <definedName name="solver_lhs125" localSheetId="3" hidden="1">'final c5 (2)'!$E$149:$J$149</definedName>
    <definedName name="solver_lhs125" localSheetId="1" hidden="1">'final c6 (3)'!$E$149:$J$149</definedName>
    <definedName name="solver_lhs126" localSheetId="3" hidden="1">'final c5 (2)'!$F$150:$J$150</definedName>
    <definedName name="solver_lhs126" localSheetId="1" hidden="1">'final c6 (3)'!$F$150:$J$150</definedName>
    <definedName name="solver_lhs127" localSheetId="3" hidden="1">'final c5 (2)'!$H$151:$J$152</definedName>
    <definedName name="solver_lhs127" localSheetId="1" hidden="1">'final c6 (3)'!$H$151:$J$152</definedName>
    <definedName name="solver_lhs128" localSheetId="3" hidden="1">'final c5 (2)'!$I$153:$J$153</definedName>
    <definedName name="solver_lhs128" localSheetId="1" hidden="1">'final c6 (3)'!$I$153:$J$153</definedName>
    <definedName name="solver_lhs129" localSheetId="3" hidden="1">'final c5 (2)'!$J$154</definedName>
    <definedName name="solver_lhs129" localSheetId="1" hidden="1">'final c6 (3)'!$J$154</definedName>
    <definedName name="solver_lhs13" localSheetId="0" hidden="1">'final c2 (2)'!$Z$30:$AA$30</definedName>
    <definedName name="solver_lhs13" localSheetId="5" hidden="1">'final c3'!$Z$30:$AA$30</definedName>
    <definedName name="solver_lhs13" localSheetId="4" hidden="1">'final c4'!$Z$30:$AA$30</definedName>
    <definedName name="solver_lhs13" localSheetId="3" hidden="1">'final c5 (2)'!$Z$30:$AA$30</definedName>
    <definedName name="solver_lhs13" localSheetId="1" hidden="1">'final c6 (3)'!$Z$30:$AA$30</definedName>
    <definedName name="solver_lhs130" localSheetId="3" hidden="1">'final c5 (2)'!$D$159:$J$160</definedName>
    <definedName name="solver_lhs130" localSheetId="1" hidden="1">'final c6 (3)'!$D$159:$J$160</definedName>
    <definedName name="solver_lhs131" localSheetId="3" hidden="1">'final c5 (2)'!$E$161:$J$161</definedName>
    <definedName name="solver_lhs131" localSheetId="1" hidden="1">'final c6 (3)'!$E$161:$J$161</definedName>
    <definedName name="solver_lhs132" localSheetId="3" hidden="1">'final c5 (2)'!$F$162:$J$162</definedName>
    <definedName name="solver_lhs132" localSheetId="1" hidden="1">'final c6 (3)'!$F$162:$J$162</definedName>
    <definedName name="solver_lhs133" localSheetId="3" hidden="1">'final c5 (2)'!$H$163:$J$164</definedName>
    <definedName name="solver_lhs133" localSheetId="1" hidden="1">'final c6 (3)'!$H$163:$J$164</definedName>
    <definedName name="solver_lhs134" localSheetId="3" hidden="1">'final c5 (2)'!$I$165:$J$165</definedName>
    <definedName name="solver_lhs134" localSheetId="1" hidden="1">'final c6 (3)'!$I$165:$J$165</definedName>
    <definedName name="solver_lhs135" localSheetId="3" hidden="1">'final c5 (2)'!$J$166</definedName>
    <definedName name="solver_lhs135" localSheetId="1" hidden="1">'final c6 (3)'!$J$166</definedName>
    <definedName name="solver_lhs136" localSheetId="3" hidden="1">'final c5 (2)'!$AD$24:$AJ$33</definedName>
    <definedName name="solver_lhs136" localSheetId="1" hidden="1">'final c6 (3)'!$D$173:$J$174</definedName>
    <definedName name="solver_lhs137" localSheetId="3" hidden="1">'final c5 (2)'!$AL$24:$AR$33</definedName>
    <definedName name="solver_lhs137" localSheetId="1" hidden="1">'final c6 (3)'!$E$175:$J$175</definedName>
    <definedName name="solver_lhs138" localSheetId="3" hidden="1">'final c5 (2)'!$AT$24:$AY$33</definedName>
    <definedName name="solver_lhs138" localSheetId="1" hidden="1">'final c6 (3)'!$F$176:$J$176</definedName>
    <definedName name="solver_lhs139" localSheetId="3" hidden="1">'final c5 (2)'!$BA$24:$BE$33</definedName>
    <definedName name="solver_lhs139" localSheetId="1" hidden="1">'final c6 (3)'!$H$177:$J$178</definedName>
    <definedName name="solver_lhs14" localSheetId="0" hidden="1">'final c2 (2)'!$U$62:$AA$63</definedName>
    <definedName name="solver_lhs14" localSheetId="5" hidden="1">'final c3'!$U$36:$AA$37</definedName>
    <definedName name="solver_lhs14" localSheetId="4" hidden="1">'final c4'!$U$36:$AA$37</definedName>
    <definedName name="solver_lhs14" localSheetId="3" hidden="1">'final c5 (2)'!$U$36:$AA$37</definedName>
    <definedName name="solver_lhs14" localSheetId="1" hidden="1">'final c6 (3)'!$U$36:$AA$37</definedName>
    <definedName name="solver_lhs140" localSheetId="3" hidden="1">'final c5 (2)'!$BG$24:$BI$33</definedName>
    <definedName name="solver_lhs140" localSheetId="1" hidden="1">'final c6 (3)'!$I$179:$J$179</definedName>
    <definedName name="solver_lhs141" localSheetId="3" hidden="1">'final c5 (2)'!$BK$24:$BM$33</definedName>
    <definedName name="solver_lhs141" localSheetId="1" hidden="1">'final c6 (3)'!$J$180</definedName>
    <definedName name="solver_lhs142" localSheetId="3" hidden="1">'final c5 (2)'!$BO$24:$BP$33</definedName>
    <definedName name="solver_lhs142" localSheetId="1" hidden="1">'final c6 (3)'!$D$184:$J$185</definedName>
    <definedName name="solver_lhs143" localSheetId="3" hidden="1">'final c5 (2)'!$BR$24:$BR$33</definedName>
    <definedName name="solver_lhs143" localSheetId="1" hidden="1">'final c6 (3)'!$E$186:$J$186</definedName>
    <definedName name="solver_lhs144" localSheetId="3" hidden="1">'final c5 (2)'!$C$30:$C$34</definedName>
    <definedName name="solver_lhs144" localSheetId="1" hidden="1">'final c6 (3)'!$F$187:$J$187</definedName>
    <definedName name="solver_lhs145" localSheetId="3" hidden="1">'final c5 (2)'!$E$30:$E$34</definedName>
    <definedName name="solver_lhs145" localSheetId="1" hidden="1">'final c6 (3)'!$H$188:$J$189</definedName>
    <definedName name="solver_lhs146" localSheetId="3" hidden="1">'final c5 (2)'!$G$30:$G$34</definedName>
    <definedName name="solver_lhs146" localSheetId="1" hidden="1">'final c6 (3)'!$I$190:$J$190</definedName>
    <definedName name="solver_lhs147" localSheetId="3" hidden="1">'final c5 (2)'!$J$30:$J$34</definedName>
    <definedName name="solver_lhs147" localSheetId="1" hidden="1">'final c6 (3)'!$J$191</definedName>
    <definedName name="solver_lhs148" localSheetId="3" hidden="1">'final c5 (2)'!$L$30:$L$34</definedName>
    <definedName name="solver_lhs148" localSheetId="1" hidden="1">'final c6 (3)'!$D$195:$J$196</definedName>
    <definedName name="solver_lhs149" localSheetId="3" hidden="1">'final c5 (2)'!$N$30:$N$34</definedName>
    <definedName name="solver_lhs149" localSheetId="1" hidden="1">'final c6 (3)'!$E$197:$J$197</definedName>
    <definedName name="solver_lhs15" localSheetId="0" hidden="1">'final c2 (2)'!$V$64:$AA$64</definedName>
    <definedName name="solver_lhs15" localSheetId="5" hidden="1">'final c3'!$V$38:$AA$38</definedName>
    <definedName name="solver_lhs15" localSheetId="4" hidden="1">'final c4'!$V$38:$AA$38</definedName>
    <definedName name="solver_lhs15" localSheetId="3" hidden="1">'final c5 (2)'!$V$38:$AA$38</definedName>
    <definedName name="solver_lhs15" localSheetId="1" hidden="1">'final c6 (3)'!$V$38:$AA$38</definedName>
    <definedName name="solver_lhs150" localSheetId="1" hidden="1">'final c6 (3)'!$F$198:$J$198</definedName>
    <definedName name="solver_lhs151" localSheetId="1" hidden="1">'final c6 (3)'!$H$199:$J$200</definedName>
    <definedName name="solver_lhs152" localSheetId="1" hidden="1">'final c6 (3)'!$I$201:$J$201</definedName>
    <definedName name="solver_lhs153" localSheetId="1" hidden="1">'final c6 (3)'!$J$202</definedName>
    <definedName name="solver_lhs154" localSheetId="1" hidden="1">'final c6 (3)'!$D$206:$J$207</definedName>
    <definedName name="solver_lhs155" localSheetId="1" hidden="1">'final c6 (3)'!$E$208:$J$208</definedName>
    <definedName name="solver_lhs156" localSheetId="1" hidden="1">'final c6 (3)'!$F$209:$J$209</definedName>
    <definedName name="solver_lhs157" localSheetId="1" hidden="1">'final c6 (3)'!$H$210:$J$211</definedName>
    <definedName name="solver_lhs158" localSheetId="1" hidden="1">'final c6 (3)'!$I$212:$J$212</definedName>
    <definedName name="solver_lhs159" localSheetId="1" hidden="1">'final c6 (3)'!$J$213</definedName>
    <definedName name="solver_lhs16" localSheetId="0" hidden="1">'final c2 (2)'!$W$65:$AA$65</definedName>
    <definedName name="solver_lhs16" localSheetId="5" hidden="1">'final c3'!$W$39:$AA$39</definedName>
    <definedName name="solver_lhs16" localSheetId="4" hidden="1">'final c4'!$W$39:$AA$39</definedName>
    <definedName name="solver_lhs16" localSheetId="3" hidden="1">'final c5 (2)'!$W$39:$AA$39</definedName>
    <definedName name="solver_lhs16" localSheetId="1" hidden="1">'final c6 (3)'!$W$39:$AA$39</definedName>
    <definedName name="solver_lhs160" localSheetId="1" hidden="1">'final c6 (3)'!$D$217:$J$218</definedName>
    <definedName name="solver_lhs161" localSheetId="1" hidden="1">'final c6 (3)'!$E$219:$J$219</definedName>
    <definedName name="solver_lhs162" localSheetId="1" hidden="1">'final c6 (3)'!$F$220:$J$220</definedName>
    <definedName name="solver_lhs163" localSheetId="1" hidden="1">'final c6 (3)'!$H$221:$J$222</definedName>
    <definedName name="solver_lhs164" localSheetId="1" hidden="1">'final c6 (3)'!$I$223:$J$223</definedName>
    <definedName name="solver_lhs165" localSheetId="1" hidden="1">'final c6 (3)'!$J$224</definedName>
    <definedName name="solver_lhs166" localSheetId="1" hidden="1">'final c6 (3)'!$O$173:$U$174</definedName>
    <definedName name="solver_lhs167" localSheetId="1" hidden="1">'final c6 (3)'!$P$175:$U$175</definedName>
    <definedName name="solver_lhs168" localSheetId="1" hidden="1">'final c6 (3)'!$Q$176:$U$176</definedName>
    <definedName name="solver_lhs169" localSheetId="1" hidden="1">'final c6 (3)'!$S$177:$U$178</definedName>
    <definedName name="solver_lhs17" localSheetId="0" hidden="1">'final c2 (2)'!$Y$66:$AA$67</definedName>
    <definedName name="solver_lhs17" localSheetId="5" hidden="1">'final c3'!$Y$40:$AA$41</definedName>
    <definedName name="solver_lhs17" localSheetId="4" hidden="1">'final c4'!$Y$40:$AA$41</definedName>
    <definedName name="solver_lhs17" localSheetId="3" hidden="1">'final c5 (2)'!$Y$40:$AA$41</definedName>
    <definedName name="solver_lhs17" localSheetId="1" hidden="1">'final c6 (3)'!$Y$40:$AA$41</definedName>
    <definedName name="solver_lhs170" localSheetId="1" hidden="1">'final c6 (3)'!$T$179:$U$179</definedName>
    <definedName name="solver_lhs171" localSheetId="1" hidden="1">'final c6 (3)'!$U$180</definedName>
    <definedName name="solver_lhs172" localSheetId="1" hidden="1">'final c6 (3)'!$O$186:$U$187</definedName>
    <definedName name="solver_lhs173" localSheetId="1" hidden="1">'final c6 (3)'!$P$188:$U$188</definedName>
    <definedName name="solver_lhs174" localSheetId="1" hidden="1">'final c6 (3)'!$Q$189:$U$189</definedName>
    <definedName name="solver_lhs175" localSheetId="1" hidden="1">'final c6 (3)'!$S$190:$U$191</definedName>
    <definedName name="solver_lhs176" localSheetId="1" hidden="1">'final c6 (3)'!$T$192:$U$192</definedName>
    <definedName name="solver_lhs177" localSheetId="1" hidden="1">'final c6 (3)'!$U$193</definedName>
    <definedName name="solver_lhs178" localSheetId="1" hidden="1">'final c6 (3)'!$O$199:$U$200</definedName>
    <definedName name="solver_lhs179" localSheetId="1" hidden="1">'final c6 (3)'!$P$201:$U$201</definedName>
    <definedName name="solver_lhs18" localSheetId="0" hidden="1">'final c2 (2)'!$Z$68:$AA$68</definedName>
    <definedName name="solver_lhs18" localSheetId="5" hidden="1">'final c3'!$Z$42:$AA$42</definedName>
    <definedName name="solver_lhs18" localSheetId="4" hidden="1">'final c4'!$Z$42:$AA$42</definedName>
    <definedName name="solver_lhs18" localSheetId="3" hidden="1">'final c5 (2)'!$Z$42:$AA$42</definedName>
    <definedName name="solver_lhs18" localSheetId="1" hidden="1">'final c6 (3)'!$Z$42:$AA$42</definedName>
    <definedName name="solver_lhs180" localSheetId="1" hidden="1">'final c6 (3)'!$Q$202:$U$202</definedName>
    <definedName name="solver_lhs181" localSheetId="1" hidden="1">'final c6 (3)'!$S$203:$U$204</definedName>
    <definedName name="solver_lhs182" localSheetId="1" hidden="1">'final c6 (3)'!$T$205:$U$205</definedName>
    <definedName name="solver_lhs183" localSheetId="1" hidden="1">'final c6 (3)'!$U$206</definedName>
    <definedName name="solver_lhs184" localSheetId="1" hidden="1">'final c6 (3)'!$O$212:$U$213</definedName>
    <definedName name="solver_lhs185" localSheetId="1" hidden="1">'final c6 (3)'!$P$214:$U$214</definedName>
    <definedName name="solver_lhs186" localSheetId="1" hidden="1">'final c6 (3)'!$Q$215:$U$215</definedName>
    <definedName name="solver_lhs187" localSheetId="1" hidden="1">'final c6 (3)'!$S$216:$U$217</definedName>
    <definedName name="solver_lhs188" localSheetId="1" hidden="1">'final c6 (3)'!$T$218:$U$218</definedName>
    <definedName name="solver_lhs189" localSheetId="1" hidden="1">'final c6 (3)'!$U$219</definedName>
    <definedName name="solver_lhs19" localSheetId="0" hidden="1">'final c2 (2)'!$AA$69</definedName>
    <definedName name="solver_lhs19" localSheetId="5" hidden="1">'final c3'!$AA$43</definedName>
    <definedName name="solver_lhs19" localSheetId="4" hidden="1">'final c4'!$AA$43</definedName>
    <definedName name="solver_lhs19" localSheetId="3" hidden="1">'final c5 (2)'!$AA$43</definedName>
    <definedName name="solver_lhs19" localSheetId="1" hidden="1">'final c6 (3)'!$AA$43</definedName>
    <definedName name="solver_lhs190" localSheetId="1" hidden="1">'final c6 (3)'!$O$225:$U$226</definedName>
    <definedName name="solver_lhs191" localSheetId="1" hidden="1">'final c6 (3)'!$P$227:$U$227</definedName>
    <definedName name="solver_lhs192" localSheetId="1" hidden="1">'final c6 (3)'!$Q$228:$U$228</definedName>
    <definedName name="solver_lhs193" localSheetId="1" hidden="1">'final c6 (3)'!$S$229:$U$230</definedName>
    <definedName name="solver_lhs194" localSheetId="1" hidden="1">'final c6 (3)'!$T$231:$U$231</definedName>
    <definedName name="solver_lhs195" localSheetId="1" hidden="1">'final c6 (3)'!$U$232</definedName>
    <definedName name="solver_lhs196" localSheetId="1" hidden="1">'final c6 (3)'!$AD$34:$AJ$48</definedName>
    <definedName name="solver_lhs197" localSheetId="1" hidden="1">'final c6 (3)'!$AL$34:$AR$48</definedName>
    <definedName name="solver_lhs198" localSheetId="1" hidden="1">'final c6 (3)'!$AT$34:$AY$48</definedName>
    <definedName name="solver_lhs199" localSheetId="1" hidden="1">'final c6 (3)'!$BA$34:$BE$48</definedName>
    <definedName name="solver_lhs2" localSheetId="0" hidden="1">'final c2 (2)'!$AL$3:$AR$8</definedName>
    <definedName name="solver_lhs2" localSheetId="5" hidden="1">'final c3'!$AL$3:$AR$8</definedName>
    <definedName name="solver_lhs2" localSheetId="4" hidden="1">'final c4'!$AL$3:$AR$14</definedName>
    <definedName name="solver_lhs2" localSheetId="3" hidden="1">'final c5 (2)'!$AL$3:$AR$22</definedName>
    <definedName name="solver_lhs2" localSheetId="1" hidden="1">'final c6 (3)'!$AL$3:$AR$32</definedName>
    <definedName name="solver_lhs20" localSheetId="0" hidden="1">'final c2 (2)'!$AA$31</definedName>
    <definedName name="solver_lhs20" localSheetId="5" hidden="1">'final c3'!$U$49:$AA$50</definedName>
    <definedName name="solver_lhs20" localSheetId="4" hidden="1">'final c4'!$U$49:$AA$50</definedName>
    <definedName name="solver_lhs20" localSheetId="3" hidden="1">'final c5 (2)'!$U$49:$AA$50</definedName>
    <definedName name="solver_lhs20" localSheetId="1" hidden="1">'final c6 (3)'!$U$49:$AA$50</definedName>
    <definedName name="solver_lhs200" localSheetId="1" hidden="1">'final c6 (3)'!$BG$34:$BI$48</definedName>
    <definedName name="solver_lhs201" localSheetId="1" hidden="1">'final c6 (3)'!$BK$34:$BM$48</definedName>
    <definedName name="solver_lhs202" localSheetId="1" hidden="1">'final c6 (3)'!$BR$34:$BR$48</definedName>
    <definedName name="solver_lhs203" localSheetId="1" hidden="1">'final c6 (3)'!$BO$34:$BP$48</definedName>
    <definedName name="solver_lhs204" localSheetId="1" hidden="1">'final c6 (3)'!$C$30:$C$35</definedName>
    <definedName name="solver_lhs205" localSheetId="1" hidden="1">'final c6 (3)'!$E$30:$E$35</definedName>
    <definedName name="solver_lhs206" localSheetId="1" hidden="1">'final c6 (3)'!$G$30:$G$35</definedName>
    <definedName name="solver_lhs207" localSheetId="1" hidden="1">'final c6 (3)'!$J$30:$J$35</definedName>
    <definedName name="solver_lhs208" localSheetId="1" hidden="1">'final c6 (3)'!$L$30:$L$35</definedName>
    <definedName name="solver_lhs209" localSheetId="1" hidden="1">'final c6 (3)'!$N$30:$N$35</definedName>
    <definedName name="solver_lhs21" localSheetId="0" hidden="1">'final c2 (2)'!$B$8:$B$9</definedName>
    <definedName name="solver_lhs21" localSheetId="5" hidden="1">'final c3'!$V$51:$AA$51</definedName>
    <definedName name="solver_lhs21" localSheetId="4" hidden="1">'final c4'!$V$51:$AA$51</definedName>
    <definedName name="solver_lhs21" localSheetId="3" hidden="1">'final c5 (2)'!$V$51:$AA$51</definedName>
    <definedName name="solver_lhs21" localSheetId="1" hidden="1">'final c6 (3)'!$V$51:$AA$51</definedName>
    <definedName name="solver_lhs22" localSheetId="0" hidden="1">'final c2 (2)'!$I$8:$I$9</definedName>
    <definedName name="solver_lhs22" localSheetId="5" hidden="1">'final c3'!$W$52:$AA$52</definedName>
    <definedName name="solver_lhs22" localSheetId="4" hidden="1">'final c4'!$W$52:$AA$52</definedName>
    <definedName name="solver_lhs22" localSheetId="3" hidden="1">'final c5 (2)'!$W$52:$AA$52</definedName>
    <definedName name="solver_lhs22" localSheetId="1" hidden="1">'final c6 (3)'!$W$52:$AA$52</definedName>
    <definedName name="solver_lhs23" localSheetId="0" hidden="1">'final c2 (2)'!$B$16:$P$17</definedName>
    <definedName name="solver_lhs23" localSheetId="5" hidden="1">'final c3'!$Y$53:$AA$54</definedName>
    <definedName name="solver_lhs23" localSheetId="4" hidden="1">'final c4'!$Y$53:$AA$54</definedName>
    <definedName name="solver_lhs23" localSheetId="3" hidden="1">'final c5 (2)'!$Y$53:$AA$54</definedName>
    <definedName name="solver_lhs23" localSheetId="1" hidden="1">'final c6 (3)'!$Y$53:$AA$54</definedName>
    <definedName name="solver_lhs24" localSheetId="0" hidden="1">'final c2 (2)'!$C$44:$P$45</definedName>
    <definedName name="solver_lhs24" localSheetId="5" hidden="1">'final c3'!$Z$55:$AA$55</definedName>
    <definedName name="solver_lhs24" localSheetId="4" hidden="1">'final c4'!$Z$55:$AA$55</definedName>
    <definedName name="solver_lhs24" localSheetId="3" hidden="1">'final c5 (2)'!$Z$55:$AA$55</definedName>
    <definedName name="solver_lhs24" localSheetId="1" hidden="1">'final c6 (3)'!$Z$55:$AA$55</definedName>
    <definedName name="solver_lhs25" localSheetId="0" hidden="1">'final c2 (2)'!$B$59:$P$59</definedName>
    <definedName name="solver_lhs25" localSheetId="5" hidden="1">'final c3'!$AA$56</definedName>
    <definedName name="solver_lhs25" localSheetId="4" hidden="1">'final c4'!$AA$56</definedName>
    <definedName name="solver_lhs25" localSheetId="3" hidden="1">'final c5 (2)'!$AA$56</definedName>
    <definedName name="solver_lhs25" localSheetId="1" hidden="1">'final c6 (3)'!$AA$56</definedName>
    <definedName name="solver_lhs26" localSheetId="0" hidden="1">'final c2 (2)'!$AD$10:$AJ$10</definedName>
    <definedName name="solver_lhs26" localSheetId="5" hidden="1">'final c3'!$U$62:$AA$63</definedName>
    <definedName name="solver_lhs26" localSheetId="4" hidden="1">'final c4'!$U$62:$AA$63</definedName>
    <definedName name="solver_lhs26" localSheetId="3" hidden="1">'final c5 (2)'!$U$62:$AA$63</definedName>
    <definedName name="solver_lhs26" localSheetId="1" hidden="1">'final c6 (3)'!$U$62:$AA$63</definedName>
    <definedName name="solver_lhs27" localSheetId="0" hidden="1">'final c2 (2)'!$AL$10:$AR$10</definedName>
    <definedName name="solver_lhs27" localSheetId="5" hidden="1">'final c3'!$V$64:$AA$64</definedName>
    <definedName name="solver_lhs27" localSheetId="4" hidden="1">'final c4'!$V$64:$AA$64</definedName>
    <definedName name="solver_lhs27" localSheetId="3" hidden="1">'final c5 (2)'!$V$64:$AA$64</definedName>
    <definedName name="solver_lhs27" localSheetId="1" hidden="1">'final c6 (3)'!$V$64:$AA$64</definedName>
    <definedName name="solver_lhs28" localSheetId="0" hidden="1">'final c2 (2)'!$AT$10:$AY$10</definedName>
    <definedName name="solver_lhs28" localSheetId="5" hidden="1">'final c3'!$W$65:$AA$65</definedName>
    <definedName name="solver_lhs28" localSheetId="4" hidden="1">'final c4'!$W$65:$AA$65</definedName>
    <definedName name="solver_lhs28" localSheetId="3" hidden="1">'final c5 (2)'!$W$65:$AA$65</definedName>
    <definedName name="solver_lhs28" localSheetId="1" hidden="1">'final c6 (3)'!$W$65:$AA$65</definedName>
    <definedName name="solver_lhs29" localSheetId="0" hidden="1">'final c2 (2)'!$BA$10:$BE$10</definedName>
    <definedName name="solver_lhs29" localSheetId="5" hidden="1">'final c3'!$Y$66:$AA$67</definedName>
    <definedName name="solver_lhs29" localSheetId="4" hidden="1">'final c4'!$Y$66:$AA$67</definedName>
    <definedName name="solver_lhs29" localSheetId="3" hidden="1">'final c5 (2)'!$Y$66:$AA$67</definedName>
    <definedName name="solver_lhs29" localSheetId="1" hidden="1">'final c6 (3)'!$Y$66:$AA$67</definedName>
    <definedName name="solver_lhs3" localSheetId="0" hidden="1">'final c2 (2)'!$AT$3:$AY$8</definedName>
    <definedName name="solver_lhs3" localSheetId="5" hidden="1">'final c3'!$AT$3:$AY$8</definedName>
    <definedName name="solver_lhs3" localSheetId="4" hidden="1">'final c4'!$AT$3:$AY$14</definedName>
    <definedName name="solver_lhs3" localSheetId="3" hidden="1">'final c5 (2)'!$AT$3:$AY$22</definedName>
    <definedName name="solver_lhs3" localSheetId="1" hidden="1">'final c6 (3)'!$AT$3:$AY$32</definedName>
    <definedName name="solver_lhs30" localSheetId="0" hidden="1">'final c2 (2)'!$BG$10:$BI$10</definedName>
    <definedName name="solver_lhs30" localSheetId="5" hidden="1">'final c3'!$Z$68:$AA$68</definedName>
    <definedName name="solver_lhs30" localSheetId="4" hidden="1">'final c4'!$Z$68:$AA$68</definedName>
    <definedName name="solver_lhs30" localSheetId="3" hidden="1">'final c5 (2)'!$Z$68:$AA$68</definedName>
    <definedName name="solver_lhs30" localSheetId="1" hidden="1">'final c6 (3)'!$Z$68:$AA$68</definedName>
    <definedName name="solver_lhs31" localSheetId="0" hidden="1">'final c2 (2)'!$BK$10:$BM$10</definedName>
    <definedName name="solver_lhs31" localSheetId="5" hidden="1">'final c3'!$AA$69</definedName>
    <definedName name="solver_lhs31" localSheetId="4" hidden="1">'final c4'!$AA$69</definedName>
    <definedName name="solver_lhs31" localSheetId="3" hidden="1">'final c5 (2)'!$AA$69</definedName>
    <definedName name="solver_lhs31" localSheetId="1" hidden="1">'final c6 (3)'!$AA$69</definedName>
    <definedName name="solver_lhs32" localSheetId="0" hidden="1">'final c2 (2)'!$BO$10:$BP$10</definedName>
    <definedName name="solver_lhs32" localSheetId="5" hidden="1">'final c3'!$U$75:$AA$76</definedName>
    <definedName name="solver_lhs32" localSheetId="4" hidden="1">'final c4'!$U$75:$AA$76</definedName>
    <definedName name="solver_lhs32" localSheetId="3" hidden="1">'final c5 (2)'!$U$75:$AA$76</definedName>
    <definedName name="solver_lhs32" localSheetId="1" hidden="1">'final c6 (3)'!$U$75:$AA$76</definedName>
    <definedName name="solver_lhs33" localSheetId="0" hidden="1">'final c2 (2)'!$BR$10</definedName>
    <definedName name="solver_lhs33" localSheetId="5" hidden="1">'final c3'!$V$77:$AA$77</definedName>
    <definedName name="solver_lhs33" localSheetId="4" hidden="1">'final c4'!$V$77:$AA$77</definedName>
    <definedName name="solver_lhs33" localSheetId="3" hidden="1">'final c5 (2)'!$V$77:$AA$77</definedName>
    <definedName name="solver_lhs33" localSheetId="1" hidden="1">'final c6 (3)'!$V$77:$AA$77</definedName>
    <definedName name="solver_lhs34" localSheetId="0" hidden="1">'final c2 (2)'!$AL$10:$AR$10</definedName>
    <definedName name="solver_lhs34" localSheetId="5" hidden="1">'final c3'!$W$78:$AA$78</definedName>
    <definedName name="solver_lhs34" localSheetId="4" hidden="1">'final c4'!$W$78:$AA$78</definedName>
    <definedName name="solver_lhs34" localSheetId="3" hidden="1">'final c5 (2)'!$W$78:$AA$78</definedName>
    <definedName name="solver_lhs34" localSheetId="1" hidden="1">'final c6 (3)'!$W$78:$AA$78</definedName>
    <definedName name="solver_lhs35" localSheetId="0" hidden="1">'final c2 (2)'!$C$30:$C$31</definedName>
    <definedName name="solver_lhs35" localSheetId="5" hidden="1">'final c3'!$Y$79:$AA$80</definedName>
    <definedName name="solver_lhs35" localSheetId="4" hidden="1">'final c4'!$Y$79:$AA$80</definedName>
    <definedName name="solver_lhs35" localSheetId="3" hidden="1">'final c5 (2)'!$Y$79:$AA$80</definedName>
    <definedName name="solver_lhs35" localSheetId="1" hidden="1">'final c6 (3)'!$Y$79:$AA$80</definedName>
    <definedName name="solver_lhs36" localSheetId="0" hidden="1">'final c2 (2)'!$E$30:$E$31</definedName>
    <definedName name="solver_lhs36" localSheetId="5" hidden="1">'final c3'!$Z$81:$AA$81</definedName>
    <definedName name="solver_lhs36" localSheetId="4" hidden="1">'final c4'!$Z$81:$AA$81</definedName>
    <definedName name="solver_lhs36" localSheetId="3" hidden="1">'final c5 (2)'!$Z$81:$AA$81</definedName>
    <definedName name="solver_lhs36" localSheetId="1" hidden="1">'final c6 (3)'!$Z$81:$AA$81</definedName>
    <definedName name="solver_lhs37" localSheetId="0" hidden="1">'final c2 (2)'!$G$30:$G$31</definedName>
    <definedName name="solver_lhs37" localSheetId="5" hidden="1">'final c3'!$AA$82</definedName>
    <definedName name="solver_lhs37" localSheetId="4" hidden="1">'final c4'!$AA$82</definedName>
    <definedName name="solver_lhs37" localSheetId="3" hidden="1">'final c5 (2)'!$AA$82</definedName>
    <definedName name="solver_lhs37" localSheetId="1" hidden="1">'final c6 (3)'!$AA$82</definedName>
    <definedName name="solver_lhs38" localSheetId="0" hidden="1">'final c2 (2)'!$J$30:$J$31</definedName>
    <definedName name="solver_lhs38" localSheetId="5" hidden="1">'final c3'!$U$86:$AA$87</definedName>
    <definedName name="solver_lhs38" localSheetId="4" hidden="1">'final c4'!$U$86:$AA$87</definedName>
    <definedName name="solver_lhs38" localSheetId="3" hidden="1">'final c5 (2)'!$U$86:$AA$87</definedName>
    <definedName name="solver_lhs38" localSheetId="1" hidden="1">'final c6 (3)'!$U$86:$AA$87</definedName>
    <definedName name="solver_lhs39" localSheetId="0" hidden="1">'final c2 (2)'!$L$30:$L$31</definedName>
    <definedName name="solver_lhs39" localSheetId="5" hidden="1">'final c3'!$V$88:$AA$88</definedName>
    <definedName name="solver_lhs39" localSheetId="4" hidden="1">'final c4'!$V$88:$AA$88</definedName>
    <definedName name="solver_lhs39" localSheetId="3" hidden="1">'final c5 (2)'!$V$88:$AA$88</definedName>
    <definedName name="solver_lhs39" localSheetId="1" hidden="1">'final c6 (3)'!$V$88:$AA$88</definedName>
    <definedName name="solver_lhs4" localSheetId="0" hidden="1">'final c2 (2)'!$BA$3:$BE$8</definedName>
    <definedName name="solver_lhs4" localSheetId="5" hidden="1">'final c3'!$BA$3:$BE$8</definedName>
    <definedName name="solver_lhs4" localSheetId="4" hidden="1">'final c4'!$BA$3:$BE$14</definedName>
    <definedName name="solver_lhs4" localSheetId="3" hidden="1">'final c5 (2)'!$BA$3:$BE$22</definedName>
    <definedName name="solver_lhs4" localSheetId="1" hidden="1">'final c6 (3)'!$BA$3:$BE$32</definedName>
    <definedName name="solver_lhs40" localSheetId="0" hidden="1">'final c2 (2)'!$N$30:$N$31</definedName>
    <definedName name="solver_lhs40" localSheetId="5" hidden="1">'final c3'!$W$89:$AA$89</definedName>
    <definedName name="solver_lhs40" localSheetId="4" hidden="1">'final c4'!$W$89:$AA$89</definedName>
    <definedName name="solver_lhs40" localSheetId="3" hidden="1">'final c5 (2)'!$W$89:$AA$89</definedName>
    <definedName name="solver_lhs40" localSheetId="1" hidden="1">'final c6 (3)'!$W$89:$AA$89</definedName>
    <definedName name="solver_lhs41" localSheetId="0" hidden="1">'final c2 (2)'!$Y$90:$AA$91</definedName>
    <definedName name="solver_lhs41" localSheetId="5" hidden="1">'final c3'!$Y$90:$AA$91</definedName>
    <definedName name="solver_lhs41" localSheetId="4" hidden="1">'final c4'!$Y$90:$AA$91</definedName>
    <definedName name="solver_lhs41" localSheetId="3" hidden="1">'final c5 (2)'!$Y$90:$AA$91</definedName>
    <definedName name="solver_lhs41" localSheetId="1" hidden="1">'final c6 (3)'!$Y$90:$AA$91</definedName>
    <definedName name="solver_lhs42" localSheetId="0" hidden="1">'final c2 (2)'!$Z$92:$AA$92</definedName>
    <definedName name="solver_lhs42" localSheetId="5" hidden="1">'final c3'!$Z$92:$AA$92</definedName>
    <definedName name="solver_lhs42" localSheetId="4" hidden="1">'final c4'!$Z$92:$AA$92</definedName>
    <definedName name="solver_lhs42" localSheetId="3" hidden="1">'final c5 (2)'!$Z$92:$AA$92</definedName>
    <definedName name="solver_lhs42" localSheetId="1" hidden="1">'final c6 (3)'!$Z$92:$AA$92</definedName>
    <definedName name="solver_lhs43" localSheetId="0" hidden="1">'final c2 (2)'!$AA$93</definedName>
    <definedName name="solver_lhs43" localSheetId="5" hidden="1">'final c3'!$AA$93</definedName>
    <definedName name="solver_lhs43" localSheetId="4" hidden="1">'final c4'!$AA$93</definedName>
    <definedName name="solver_lhs43" localSheetId="3" hidden="1">'final c5 (2)'!$AA$93</definedName>
    <definedName name="solver_lhs43" localSheetId="1" hidden="1">'final c6 (3)'!$AA$93</definedName>
    <definedName name="solver_lhs44" localSheetId="0" hidden="1">'final c2 (2)'!$AA$31</definedName>
    <definedName name="solver_lhs44" localSheetId="5" hidden="1">'final c3'!$AA$31</definedName>
    <definedName name="solver_lhs44" localSheetId="4" hidden="1">'final c4'!$AA$31</definedName>
    <definedName name="solver_lhs44" localSheetId="3" hidden="1">'final c5 (2)'!$AA$31</definedName>
    <definedName name="solver_lhs44" localSheetId="1" hidden="1">'final c6 (3)'!$AA$31</definedName>
    <definedName name="solver_lhs45" localSheetId="0" hidden="1">'final c2 (2)'!$B$8:$B$10</definedName>
    <definedName name="solver_lhs45" localSheetId="5" hidden="1">'final c3'!$B$8:$B$10</definedName>
    <definedName name="solver_lhs45" localSheetId="4" hidden="1">'final c4'!$B$8:$B$11</definedName>
    <definedName name="solver_lhs45" localSheetId="3" hidden="1">'final c5 (2)'!$B$8:$B$12</definedName>
    <definedName name="solver_lhs45" localSheetId="1" hidden="1">'final c6 (3)'!$B$8:$B$13</definedName>
    <definedName name="solver_lhs46" localSheetId="0" hidden="1">'final c2 (2)'!$I$8:$I$10</definedName>
    <definedName name="solver_lhs46" localSheetId="5" hidden="1">'final c3'!$I$8:$I$10</definedName>
    <definedName name="solver_lhs46" localSheetId="4" hidden="1">'final c4'!$I$8:$I$11</definedName>
    <definedName name="solver_lhs46" localSheetId="3" hidden="1">'final c5 (2)'!$I$8:$I$12</definedName>
    <definedName name="solver_lhs46" localSheetId="1" hidden="1">'final c6 (3)'!$I$8:$I$13</definedName>
    <definedName name="solver_lhs47" localSheetId="0" hidden="1">'final c2 (2)'!$B$16:$P$18</definedName>
    <definedName name="solver_lhs47" localSheetId="5" hidden="1">'final c3'!$B$16:$P$18</definedName>
    <definedName name="solver_lhs47" localSheetId="4" hidden="1">'final c4'!$C$44:$P$47</definedName>
    <definedName name="solver_lhs47" localSheetId="3" hidden="1">'final c5 (2)'!$C$44:$P$48</definedName>
    <definedName name="solver_lhs47" localSheetId="1" hidden="1">'final c6 (3)'!$C$44:$P$49</definedName>
    <definedName name="solver_lhs48" localSheetId="0" hidden="1">'final c2 (2)'!$C$44:$P$46</definedName>
    <definedName name="solver_lhs48" localSheetId="5" hidden="1">'final c3'!$C$44:$P$46</definedName>
    <definedName name="solver_lhs48" localSheetId="4" hidden="1">'final c4'!$B$59:$P$61</definedName>
    <definedName name="solver_lhs48" localSheetId="3" hidden="1">'final c5 (2)'!$B$59:$P$62</definedName>
    <definedName name="solver_lhs48" localSheetId="1" hidden="1">'final c6 (3)'!$B$59:$P$63</definedName>
    <definedName name="solver_lhs49" localSheetId="0" hidden="1">'final c2 (2)'!$B$59:$P$60</definedName>
    <definedName name="solver_lhs49" localSheetId="5" hidden="1">'final c3'!$B$59:$P$60</definedName>
    <definedName name="solver_lhs49" localSheetId="4" hidden="1">'final c4'!$B$2:$C$5</definedName>
    <definedName name="solver_lhs49" localSheetId="3" hidden="1">'final c5 (2)'!$B$2:$C$6</definedName>
    <definedName name="solver_lhs49" localSheetId="1" hidden="1">'final c6 (3)'!$B$2:$C$7</definedName>
    <definedName name="solver_lhs5" localSheetId="0" hidden="1">'final c2 (2)'!$BG$3:$BI$8</definedName>
    <definedName name="solver_lhs5" localSheetId="5" hidden="1">'final c3'!$BG$3:$BI$8</definedName>
    <definedName name="solver_lhs5" localSheetId="4" hidden="1">'final c4'!$BG$3:$BI$14</definedName>
    <definedName name="solver_lhs5" localSheetId="3" hidden="1">'final c5 (2)'!$BG$3:$BI$22</definedName>
    <definedName name="solver_lhs5" localSheetId="1" hidden="1">'final c6 (3)'!$BG$3:$BI$32</definedName>
    <definedName name="solver_lhs50" localSheetId="0" hidden="1">'final c2 (2)'!$E$90:$K$91</definedName>
    <definedName name="solver_lhs50" localSheetId="5" hidden="1">'final c3'!$AD$9:$AJ$9</definedName>
    <definedName name="solver_lhs50" localSheetId="4" hidden="1">'final c4'!$I$2:$J$5</definedName>
    <definedName name="solver_lhs50" localSheetId="3" hidden="1">'final c5 (2)'!$I$2:$J$6</definedName>
    <definedName name="solver_lhs50" localSheetId="1" hidden="1">'final c6 (3)'!$I$2:$J$7</definedName>
    <definedName name="solver_lhs51" localSheetId="0" hidden="1">'final c2 (2)'!$F$92:$K$92</definedName>
    <definedName name="solver_lhs51" localSheetId="5" hidden="1">'final c3'!$AL$9:$AR$9</definedName>
    <definedName name="solver_lhs51" localSheetId="4" hidden="1">'final c4'!$U$98:$AA$99</definedName>
    <definedName name="solver_lhs51" localSheetId="3" hidden="1">'final c5 (2)'!$U$98:$AA$99</definedName>
    <definedName name="solver_lhs51" localSheetId="1" hidden="1">'final c6 (3)'!$U$98:$AA$99</definedName>
    <definedName name="solver_lhs52" localSheetId="0" hidden="1">'final c2 (2)'!$G$93:$K$93</definedName>
    <definedName name="solver_lhs52" localSheetId="5" hidden="1">'final c3'!$AT$9:$AY$9</definedName>
    <definedName name="solver_lhs52" localSheetId="4" hidden="1">'final c4'!$V$100:$AA$100</definedName>
    <definedName name="solver_lhs52" localSheetId="3" hidden="1">'final c5 (2)'!$V$100:$AA$100</definedName>
    <definedName name="solver_lhs52" localSheetId="1" hidden="1">'final c6 (3)'!$V$100:$AA$100</definedName>
    <definedName name="solver_lhs53" localSheetId="0" hidden="1">'final c2 (2)'!$I$94:$K$95</definedName>
    <definedName name="solver_lhs53" localSheetId="5" hidden="1">'final c3'!$BA$9:$BE$9</definedName>
    <definedName name="solver_lhs53" localSheetId="4" hidden="1">'final c4'!$W$101:$AA$101</definedName>
    <definedName name="solver_lhs53" localSheetId="3" hidden="1">'final c5 (2)'!$W$101:$AA$101</definedName>
    <definedName name="solver_lhs53" localSheetId="1" hidden="1">'final c6 (3)'!$W$101:$AA$101</definedName>
    <definedName name="solver_lhs54" localSheetId="0" hidden="1">'final c2 (2)'!$J$96:$K$96</definedName>
    <definedName name="solver_lhs54" localSheetId="5" hidden="1">'final c3'!$BG$9:$BI$9</definedName>
    <definedName name="solver_lhs54" localSheetId="4" hidden="1">'final c4'!$Y$102:$AA$103</definedName>
    <definedName name="solver_lhs54" localSheetId="3" hidden="1">'final c5 (2)'!$Y$102:$AA$103</definedName>
    <definedName name="solver_lhs54" localSheetId="1" hidden="1">'final c6 (3)'!$Y$102:$AA$103</definedName>
    <definedName name="solver_lhs55" localSheetId="0" hidden="1">'final c2 (2)'!$K$97</definedName>
    <definedName name="solver_lhs55" localSheetId="5" hidden="1">'final c3'!$BK$9:$BM$9</definedName>
    <definedName name="solver_lhs55" localSheetId="4" hidden="1">'final c4'!$Z$104:$AA$104</definedName>
    <definedName name="solver_lhs55" localSheetId="3" hidden="1">'final c5 (2)'!$Z$104:$AA$104</definedName>
    <definedName name="solver_lhs55" localSheetId="1" hidden="1">'final c6 (3)'!$Z$104:$AA$104</definedName>
    <definedName name="solver_lhs56" localSheetId="0" hidden="1">'final c2 (2)'!$B$2:$C$4</definedName>
    <definedName name="solver_lhs56" localSheetId="5" hidden="1">'final c3'!$BO$9:$BP$9</definedName>
    <definedName name="solver_lhs56" localSheetId="4" hidden="1">'final c4'!$AA$105</definedName>
    <definedName name="solver_lhs56" localSheetId="3" hidden="1">'final c5 (2)'!$AA$105</definedName>
    <definedName name="solver_lhs56" localSheetId="1" hidden="1">'final c6 (3)'!$AA$105</definedName>
    <definedName name="solver_lhs57" localSheetId="0" hidden="1">'final c2 (2)'!$I$2:$J$4</definedName>
    <definedName name="solver_lhs57" localSheetId="5" hidden="1">'final c3'!$BR$9</definedName>
    <definedName name="solver_lhs57" localSheetId="4" hidden="1">'final c4'!$U$110:$AA$111</definedName>
    <definedName name="solver_lhs57" localSheetId="3" hidden="1">'final c5 (2)'!$U$110:$AA$111</definedName>
    <definedName name="solver_lhs57" localSheetId="1" hidden="1">'final c6 (3)'!$U$110:$AA$111</definedName>
    <definedName name="solver_lhs58" localSheetId="0" hidden="1">'final c2 (2)'!$E$102:$K$103</definedName>
    <definedName name="solver_lhs58" localSheetId="5" hidden="1">'final c3'!$C$30:$C$32</definedName>
    <definedName name="solver_lhs58" localSheetId="4" hidden="1">'final c4'!$V$112:$AA$112</definedName>
    <definedName name="solver_lhs58" localSheetId="3" hidden="1">'final c5 (2)'!$V$112:$AA$112</definedName>
    <definedName name="solver_lhs58" localSheetId="1" hidden="1">'final c6 (3)'!$V$112:$AA$112</definedName>
    <definedName name="solver_lhs59" localSheetId="0" hidden="1">'final c2 (2)'!$F$104:$K$104</definedName>
    <definedName name="solver_lhs59" localSheetId="5" hidden="1">'final c3'!$E$30:$E$32</definedName>
    <definedName name="solver_lhs59" localSheetId="4" hidden="1">'final c4'!$W$113:$AA$113</definedName>
    <definedName name="solver_lhs59" localSheetId="3" hidden="1">'final c5 (2)'!$W$113:$AA$113</definedName>
    <definedName name="solver_lhs59" localSheetId="1" hidden="1">'final c6 (3)'!$W$113:$AA$113</definedName>
    <definedName name="solver_lhs6" localSheetId="0" hidden="1">'final c2 (2)'!$BK$3:$BM$8</definedName>
    <definedName name="solver_lhs6" localSheetId="5" hidden="1">'final c3'!$BK$3:$BM$8</definedName>
    <definedName name="solver_lhs6" localSheetId="4" hidden="1">'final c4'!$BK$3:$BM$14</definedName>
    <definedName name="solver_lhs6" localSheetId="3" hidden="1">'final c5 (2)'!$BK$3:$BM$22</definedName>
    <definedName name="solver_lhs6" localSheetId="1" hidden="1">'final c6 (3)'!$BK$3:$BM$32</definedName>
    <definedName name="solver_lhs60" localSheetId="0" hidden="1">'final c2 (2)'!$G$105:$K$105</definedName>
    <definedName name="solver_lhs60" localSheetId="5" hidden="1">'final c3'!$G$30:$G$32</definedName>
    <definedName name="solver_lhs60" localSheetId="4" hidden="1">'final c4'!$Y$114:$AA$114</definedName>
    <definedName name="solver_lhs60" localSheetId="3" hidden="1">'final c5 (2)'!$Y$114:$AA$114</definedName>
    <definedName name="solver_lhs60" localSheetId="1" hidden="1">'final c6 (3)'!$Y$114:$AA$114</definedName>
    <definedName name="solver_lhs61" localSheetId="0" hidden="1">'final c2 (2)'!$I$106:$K$107</definedName>
    <definedName name="solver_lhs61" localSheetId="5" hidden="1">'final c3'!$J$30:$J$32</definedName>
    <definedName name="solver_lhs61" localSheetId="4" hidden="1">'final c4'!$Z$116:$AA$116</definedName>
    <definedName name="solver_lhs61" localSheetId="3" hidden="1">'final c5 (2)'!$Z$116:$AA$116</definedName>
    <definedName name="solver_lhs61" localSheetId="1" hidden="1">'final c6 (3)'!$Z$116:$AA$116</definedName>
    <definedName name="solver_lhs62" localSheetId="0" hidden="1">'final c2 (2)'!$J$108:$K$108</definedName>
    <definedName name="solver_lhs62" localSheetId="5" hidden="1">'final c3'!$L$30:$L$32</definedName>
    <definedName name="solver_lhs62" localSheetId="4" hidden="1">'final c4'!$AA$117</definedName>
    <definedName name="solver_lhs62" localSheetId="3" hidden="1">'final c5 (2)'!$AA$117</definedName>
    <definedName name="solver_lhs62" localSheetId="1" hidden="1">'final c6 (3)'!$AA$117</definedName>
    <definedName name="solver_lhs63" localSheetId="0" hidden="1">'final c2 (2)'!$K$109</definedName>
    <definedName name="solver_lhs63" localSheetId="5" hidden="1">'final c3'!$N$30:$N$32</definedName>
    <definedName name="solver_lhs63" localSheetId="4" hidden="1">'final c4'!$U$122:$AA$123</definedName>
    <definedName name="solver_lhs63" localSheetId="3" hidden="1">'final c5 (2)'!$U$122:$AA$123</definedName>
    <definedName name="solver_lhs63" localSheetId="1" hidden="1">'final c6 (3)'!$U$122:$AA$123</definedName>
    <definedName name="solver_lhs64" localSheetId="4" hidden="1">'final c4'!$V$124:$AA$124</definedName>
    <definedName name="solver_lhs64" localSheetId="3" hidden="1">'final c5 (2)'!$V$124:$AA$124</definedName>
    <definedName name="solver_lhs64" localSheetId="1" hidden="1">'final c6 (3)'!$V$124:$AA$124</definedName>
    <definedName name="solver_lhs65" localSheetId="4" hidden="1">'final c4'!$W$125:$AA$125</definedName>
    <definedName name="solver_lhs65" localSheetId="3" hidden="1">'final c5 (2)'!$W$125:$AA$125</definedName>
    <definedName name="solver_lhs65" localSheetId="1" hidden="1">'final c6 (3)'!$W$125:$AA$125</definedName>
    <definedName name="solver_lhs66" localSheetId="4" hidden="1">'final c4'!$Y$126:$AA$127</definedName>
    <definedName name="solver_lhs66" localSheetId="3" hidden="1">'final c5 (2)'!$Y$126:$AA$127</definedName>
    <definedName name="solver_lhs66" localSheetId="1" hidden="1">'final c6 (3)'!$Y$126:$AA$127</definedName>
    <definedName name="solver_lhs67" localSheetId="4" hidden="1">'final c4'!$Z$128:$AA$128</definedName>
    <definedName name="solver_lhs67" localSheetId="3" hidden="1">'final c5 (2)'!$Z$128:$AA$128</definedName>
    <definedName name="solver_lhs67" localSheetId="1" hidden="1">'final c6 (3)'!$Z$128:$AA$128</definedName>
    <definedName name="solver_lhs68" localSheetId="4" hidden="1">'final c4'!$AA$129</definedName>
    <definedName name="solver_lhs68" localSheetId="3" hidden="1">'final c5 (2)'!$AA$129</definedName>
    <definedName name="solver_lhs68" localSheetId="1" hidden="1">'final c6 (3)'!$AA$129</definedName>
    <definedName name="solver_lhs69" localSheetId="4" hidden="1">'final c4'!$U$134:$AA$135</definedName>
    <definedName name="solver_lhs69" localSheetId="3" hidden="1">'final c5 (2)'!$U$134:$AA$135</definedName>
    <definedName name="solver_lhs69" localSheetId="1" hidden="1">'final c6 (3)'!$U$134:$AA$135</definedName>
    <definedName name="solver_lhs7" localSheetId="0" hidden="1">'final c2 (2)'!$BO$3:$BP$8</definedName>
    <definedName name="solver_lhs7" localSheetId="5" hidden="1">'final c3'!$BO$3:$BP$8</definedName>
    <definedName name="solver_lhs7" localSheetId="4" hidden="1">'final c4'!$BO$3:$BP$14</definedName>
    <definedName name="solver_lhs7" localSheetId="3" hidden="1">'final c5 (2)'!$BO$3:$BP$22</definedName>
    <definedName name="solver_lhs7" localSheetId="1" hidden="1">'final c6 (3)'!$BO$3:$BP$32</definedName>
    <definedName name="solver_lhs70" localSheetId="4" hidden="1">'final c4'!$V$136:$AA$136</definedName>
    <definedName name="solver_lhs70" localSheetId="3" hidden="1">'final c5 (2)'!$V$136:$AA$136</definedName>
    <definedName name="solver_lhs70" localSheetId="1" hidden="1">'final c6 (3)'!$V$136:$AA$136</definedName>
    <definedName name="solver_lhs71" localSheetId="4" hidden="1">'final c4'!$W$137:$AA$137</definedName>
    <definedName name="solver_lhs71" localSheetId="3" hidden="1">'final c5 (2)'!$W$137:$AA$137</definedName>
    <definedName name="solver_lhs71" localSheetId="1" hidden="1">'final c6 (3)'!$W$137:$AA$137</definedName>
    <definedName name="solver_lhs72" localSheetId="4" hidden="1">'final c4'!$Y$138:$AA$139</definedName>
    <definedName name="solver_lhs72" localSheetId="3" hidden="1">'final c5 (2)'!$Y$138:$AA$139</definedName>
    <definedName name="solver_lhs72" localSheetId="1" hidden="1">'final c6 (3)'!$Y$138:$AA$139</definedName>
    <definedName name="solver_lhs73" localSheetId="4" hidden="1">'final c4'!$Z$140:$AA$140</definedName>
    <definedName name="solver_lhs73" localSheetId="3" hidden="1">'final c5 (2)'!$Z$140:$AA$140</definedName>
    <definedName name="solver_lhs73" localSheetId="1" hidden="1">'final c6 (3)'!$Z$140:$AA$140</definedName>
    <definedName name="solver_lhs74" localSheetId="4" hidden="1">'final c4'!$AA$141</definedName>
    <definedName name="solver_lhs74" localSheetId="3" hidden="1">'final c5 (2)'!$AA$141</definedName>
    <definedName name="solver_lhs74" localSheetId="1" hidden="1">'final c6 (3)'!$AA$141</definedName>
    <definedName name="solver_lhs75" localSheetId="4" hidden="1">'final c4'!$U$146:$AA$147</definedName>
    <definedName name="solver_lhs75" localSheetId="3" hidden="1">'final c5 (2)'!$U$146:$AA$147</definedName>
    <definedName name="solver_lhs75" localSheetId="1" hidden="1">'final c6 (3)'!$U$146:$AA$147</definedName>
    <definedName name="solver_lhs76" localSheetId="4" hidden="1">'final c4'!$V$148:$AA$148</definedName>
    <definedName name="solver_lhs76" localSheetId="3" hidden="1">'final c5 (2)'!$V$148:$AA$148</definedName>
    <definedName name="solver_lhs76" localSheetId="1" hidden="1">'final c6 (3)'!$V$148:$AA$148</definedName>
    <definedName name="solver_lhs77" localSheetId="4" hidden="1">'final c4'!$W$149:$AA$149</definedName>
    <definedName name="solver_lhs77" localSheetId="3" hidden="1">'final c5 (2)'!$W$149:$AA$149</definedName>
    <definedName name="solver_lhs77" localSheetId="1" hidden="1">'final c6 (3)'!$W$149:$AA$149</definedName>
    <definedName name="solver_lhs78" localSheetId="4" hidden="1">'final c4'!$Y$150:$AA$151</definedName>
    <definedName name="solver_lhs78" localSheetId="3" hidden="1">'final c5 (2)'!$Y$150:$AA$151</definedName>
    <definedName name="solver_lhs78" localSheetId="1" hidden="1">'final c6 (3)'!$Y$150:$AA$151</definedName>
    <definedName name="solver_lhs79" localSheetId="4" hidden="1">'final c4'!$Z$152:$AA$152</definedName>
    <definedName name="solver_lhs79" localSheetId="3" hidden="1">'final c5 (2)'!$Z$152:$AA$152</definedName>
    <definedName name="solver_lhs79" localSheetId="1" hidden="1">'final c6 (3)'!$Z$152:$AA$152</definedName>
    <definedName name="solver_lhs8" localSheetId="0" hidden="1">'final c2 (2)'!$BR$3:$BR$8</definedName>
    <definedName name="solver_lhs8" localSheetId="5" hidden="1">'final c3'!$BR$3:$BR$8</definedName>
    <definedName name="solver_lhs8" localSheetId="4" hidden="1">'final c4'!$BR$3:$BR$14</definedName>
    <definedName name="solver_lhs8" localSheetId="3" hidden="1">'final c5 (2)'!$BR$3:$BR$22</definedName>
    <definedName name="solver_lhs8" localSheetId="1" hidden="1">'final c6 (3)'!$BR$3:$BR$32</definedName>
    <definedName name="solver_lhs80" localSheetId="4" hidden="1">'final c4'!$AA$153</definedName>
    <definedName name="solver_lhs80" localSheetId="3" hidden="1">'final c5 (2)'!$AA$153</definedName>
    <definedName name="solver_lhs80" localSheetId="1" hidden="1">'final c6 (3)'!$AA$153</definedName>
    <definedName name="solver_lhs81" localSheetId="4" hidden="1">'final c4'!$U$159:$AA$160</definedName>
    <definedName name="solver_lhs81" localSheetId="3" hidden="1">'final c5 (2)'!$U$159:$AA$160</definedName>
    <definedName name="solver_lhs81" localSheetId="1" hidden="1">'final c6 (3)'!$U$159:$AA$160</definedName>
    <definedName name="solver_lhs82" localSheetId="4" hidden="1">'final c4'!$V$161:$AA$161</definedName>
    <definedName name="solver_lhs82" localSheetId="3" hidden="1">'final c5 (2)'!$V$161:$AA$161</definedName>
    <definedName name="solver_lhs82" localSheetId="1" hidden="1">'final c6 (3)'!$V$161:$AA$161</definedName>
    <definedName name="solver_lhs83" localSheetId="4" hidden="1">'final c4'!$W$162:$AA$162</definedName>
    <definedName name="solver_lhs83" localSheetId="3" hidden="1">'final c5 (2)'!$W$162:$AA$162</definedName>
    <definedName name="solver_lhs83" localSheetId="1" hidden="1">'final c6 (3)'!$W$162:$AA$162</definedName>
    <definedName name="solver_lhs84" localSheetId="4" hidden="1">'final c4'!$Y$163:$AA$164</definedName>
    <definedName name="solver_lhs84" localSheetId="3" hidden="1">'final c5 (2)'!$Y$163:$AA$164</definedName>
    <definedName name="solver_lhs84" localSheetId="1" hidden="1">'final c6 (3)'!$Y$163:$AA$164</definedName>
    <definedName name="solver_lhs85" localSheetId="4" hidden="1">'final c4'!$Z$165:$AA$165</definedName>
    <definedName name="solver_lhs85" localSheetId="3" hidden="1">'final c5 (2)'!$Z$165:$AA$165</definedName>
    <definedName name="solver_lhs85" localSheetId="1" hidden="1">'final c6 (3)'!$Z$165:$AA$165</definedName>
    <definedName name="solver_lhs86" localSheetId="4" hidden="1">'final c4'!$AA$166</definedName>
    <definedName name="solver_lhs86" localSheetId="3" hidden="1">'final c5 (2)'!$AA$166</definedName>
    <definedName name="solver_lhs86" localSheetId="1" hidden="1">'final c6 (3)'!$AA$166</definedName>
    <definedName name="solver_lhs87" localSheetId="4" hidden="1">'final c4'!$Y$115:$AA$115</definedName>
    <definedName name="solver_lhs87" localSheetId="3" hidden="1">'final c5 (2)'!$Y$115:$AA$115</definedName>
    <definedName name="solver_lhs87" localSheetId="1" hidden="1">'final c6 (3)'!$Y$115:$AA$115</definedName>
    <definedName name="solver_lhs88" localSheetId="4" hidden="1">'final c4'!$AD$15:$AJ$15</definedName>
    <definedName name="solver_lhs88" localSheetId="3" hidden="1">'final c5 (2)'!$D$75:$J$76</definedName>
    <definedName name="solver_lhs88" localSheetId="1" hidden="1">'final c6 (3)'!$D$75:$J$76</definedName>
    <definedName name="solver_lhs89" localSheetId="4" hidden="1">'final c4'!$AL$15:$AR$15</definedName>
    <definedName name="solver_lhs89" localSheetId="3" hidden="1">'final c5 (2)'!$E$77:$J$77</definedName>
    <definedName name="solver_lhs89" localSheetId="1" hidden="1">'final c6 (3)'!$E$77:$J$77</definedName>
    <definedName name="solver_lhs9" localSheetId="0" hidden="1">'final c2 (2)'!$U$24:$AA$25</definedName>
    <definedName name="solver_lhs9" localSheetId="5" hidden="1">'final c3'!$U$24:$AA$25</definedName>
    <definedName name="solver_lhs9" localSheetId="4" hidden="1">'final c4'!$U$24:$AA$25</definedName>
    <definedName name="solver_lhs9" localSheetId="3" hidden="1">'final c5 (2)'!$U$24:$AA$25</definedName>
    <definedName name="solver_lhs9" localSheetId="1" hidden="1">'final c6 (3)'!$U$24:$AA$25</definedName>
    <definedName name="solver_lhs90" localSheetId="4" hidden="1">'final c4'!$AT$15:$AY$15</definedName>
    <definedName name="solver_lhs90" localSheetId="3" hidden="1">'final c5 (2)'!$F$78:$J$78</definedName>
    <definedName name="solver_lhs90" localSheetId="1" hidden="1">'final c6 (3)'!$F$78:$J$78</definedName>
    <definedName name="solver_lhs91" localSheetId="4" hidden="1">'final c4'!$BA$15:$BE$15</definedName>
    <definedName name="solver_lhs91" localSheetId="3" hidden="1">'final c5 (2)'!$H$79:$J$80</definedName>
    <definedName name="solver_lhs91" localSheetId="1" hidden="1">'final c6 (3)'!$H$79:$J$80</definedName>
    <definedName name="solver_lhs92" localSheetId="4" hidden="1">'final c4'!$BG$15:$BI$15</definedName>
    <definedName name="solver_lhs92" localSheetId="3" hidden="1">'final c5 (2)'!$I$81:$J$81</definedName>
    <definedName name="solver_lhs92" localSheetId="1" hidden="1">'final c6 (3)'!$I$81:$J$81</definedName>
    <definedName name="solver_lhs93" localSheetId="4" hidden="1">'final c4'!$BK$15:$BM$15</definedName>
    <definedName name="solver_lhs93" localSheetId="3" hidden="1">'final c5 (2)'!$J$82</definedName>
    <definedName name="solver_lhs93" localSheetId="1" hidden="1">'final c6 (3)'!$J$82</definedName>
    <definedName name="solver_lhs94" localSheetId="4" hidden="1">'final c4'!$BO$15:$BP$15</definedName>
    <definedName name="solver_lhs94" localSheetId="3" hidden="1">'final c5 (2)'!$D$87:$J$88</definedName>
    <definedName name="solver_lhs94" localSheetId="1" hidden="1">'final c6 (3)'!$D$87:$J$88</definedName>
    <definedName name="solver_lhs95" localSheetId="4" hidden="1">'final c4'!$BR$15</definedName>
    <definedName name="solver_lhs95" localSheetId="3" hidden="1">'final c5 (2)'!$E$89:$J$89</definedName>
    <definedName name="solver_lhs95" localSheetId="1" hidden="1">'final c6 (3)'!$E$89:$J$89</definedName>
    <definedName name="solver_lhs96" localSheetId="4" hidden="1">'final c4'!$AD$17:$AJ$22</definedName>
    <definedName name="solver_lhs96" localSheetId="3" hidden="1">'final c5 (2)'!$F$90:$J$90</definedName>
    <definedName name="solver_lhs96" localSheetId="1" hidden="1">'final c6 (3)'!$F$90:$J$90</definedName>
    <definedName name="solver_lhs97" localSheetId="4" hidden="1">'final c4'!$AL$17:$AR$22</definedName>
    <definedName name="solver_lhs97" localSheetId="3" hidden="1">'final c5 (2)'!$H$91:$J$92</definedName>
    <definedName name="solver_lhs97" localSheetId="1" hidden="1">'final c6 (3)'!$H$91:$J$92</definedName>
    <definedName name="solver_lhs98" localSheetId="4" hidden="1">'final c4'!$AT$17:$AY$22</definedName>
    <definedName name="solver_lhs98" localSheetId="3" hidden="1">'final c5 (2)'!$I$93:$J$93</definedName>
    <definedName name="solver_lhs98" localSheetId="1" hidden="1">'final c6 (3)'!$I$93:$J$93</definedName>
    <definedName name="solver_lhs99" localSheetId="4" hidden="1">'final c4'!$BA$17:$BE$22</definedName>
    <definedName name="solver_lhs99" localSheetId="3" hidden="1">'final c5 (2)'!$J$94</definedName>
    <definedName name="solver_lhs99" localSheetId="1" hidden="1">'final c6 (3)'!$J$94</definedName>
    <definedName name="solver_neg" localSheetId="0" hidden="1">1</definedName>
    <definedName name="solver_neg" localSheetId="5" hidden="1">1</definedName>
    <definedName name="solver_neg" localSheetId="4" hidden="1">1</definedName>
    <definedName name="solver_neg" localSheetId="3" hidden="1">1</definedName>
    <definedName name="solver_neg" localSheetId="1" hidden="1">1</definedName>
    <definedName name="solver_num" localSheetId="0" hidden="1">40</definedName>
    <definedName name="solver_num" localSheetId="5" hidden="1">63</definedName>
    <definedName name="solver_num" localSheetId="4" hidden="1">109</definedName>
    <definedName name="solver_num" localSheetId="3" hidden="1">149</definedName>
    <definedName name="solver_num" localSheetId="1" hidden="1">209</definedName>
    <definedName name="solver_nwt" localSheetId="0" hidden="1">1</definedName>
    <definedName name="solver_nwt" localSheetId="5" hidden="1">1</definedName>
    <definedName name="solver_nwt" localSheetId="4" hidden="1">1</definedName>
    <definedName name="solver_nwt" localSheetId="3" hidden="1">1</definedName>
    <definedName name="solver_nwt" localSheetId="1" hidden="1">1</definedName>
    <definedName name="solver_opt" localSheetId="0" hidden="1">'final c2 (2)'!$B$36</definedName>
    <definedName name="solver_opt" localSheetId="5" hidden="1">'final c3'!$B$35</definedName>
    <definedName name="solver_opt" localSheetId="4" hidden="1">'final c4'!$A$36</definedName>
    <definedName name="solver_opt" localSheetId="3" hidden="1">'final c5 (2)'!$A$37</definedName>
    <definedName name="solver_opt" localSheetId="1" hidden="1">'final c6 (3)'!$A$38</definedName>
    <definedName name="solver_pre" localSheetId="5" hidden="1">0.000001</definedName>
    <definedName name="solver_pre" localSheetId="4" hidden="1">0.000001</definedName>
    <definedName name="solver_pre" localSheetId="3" hidden="1">0.000001</definedName>
    <definedName name="solver_pre" localSheetId="1" hidden="1">0.000001</definedName>
    <definedName name="solver_rel1" localSheetId="0" hidden="1">5</definedName>
    <definedName name="solver_rel1" localSheetId="5" hidden="1">5</definedName>
    <definedName name="solver_rel1" localSheetId="4" hidden="1">5</definedName>
    <definedName name="solver_rel1" localSheetId="3" hidden="1">5</definedName>
    <definedName name="solver_rel1" localSheetId="1" hidden="1">5</definedName>
    <definedName name="solver_rel10" localSheetId="0" hidden="1">1</definedName>
    <definedName name="solver_rel10" localSheetId="5" hidden="1">1</definedName>
    <definedName name="solver_rel10" localSheetId="4" hidden="1">1</definedName>
    <definedName name="solver_rel10" localSheetId="3" hidden="1">1</definedName>
    <definedName name="solver_rel10" localSheetId="1" hidden="1">1</definedName>
    <definedName name="solver_rel100" localSheetId="4" hidden="1">2</definedName>
    <definedName name="solver_rel100" localSheetId="3" hidden="1">1</definedName>
    <definedName name="solver_rel100" localSheetId="1" hidden="1">1</definedName>
    <definedName name="solver_rel101" localSheetId="4" hidden="1">2</definedName>
    <definedName name="solver_rel101" localSheetId="3" hidden="1">1</definedName>
    <definedName name="solver_rel101" localSheetId="1" hidden="1">1</definedName>
    <definedName name="solver_rel102" localSheetId="4" hidden="1">2</definedName>
    <definedName name="solver_rel102" localSheetId="3" hidden="1">1</definedName>
    <definedName name="solver_rel102" localSheetId="1" hidden="1">1</definedName>
    <definedName name="solver_rel103" localSheetId="4" hidden="1">2</definedName>
    <definedName name="solver_rel103" localSheetId="3" hidden="1">1</definedName>
    <definedName name="solver_rel103" localSheetId="1" hidden="1">1</definedName>
    <definedName name="solver_rel104" localSheetId="4" hidden="1">2</definedName>
    <definedName name="solver_rel104" localSheetId="3" hidden="1">1</definedName>
    <definedName name="solver_rel104" localSheetId="1" hidden="1">1</definedName>
    <definedName name="solver_rel105" localSheetId="4" hidden="1">2</definedName>
    <definedName name="solver_rel105" localSheetId="3" hidden="1">1</definedName>
    <definedName name="solver_rel105" localSheetId="1" hidden="1">1</definedName>
    <definedName name="solver_rel106" localSheetId="4" hidden="1">2</definedName>
    <definedName name="solver_rel106" localSheetId="3" hidden="1">1</definedName>
    <definedName name="solver_rel106" localSheetId="1" hidden="1">1</definedName>
    <definedName name="solver_rel107" localSheetId="4" hidden="1">2</definedName>
    <definedName name="solver_rel107" localSheetId="3" hidden="1">1</definedName>
    <definedName name="solver_rel107" localSheetId="1" hidden="1">1</definedName>
    <definedName name="solver_rel108" localSheetId="4" hidden="1">2</definedName>
    <definedName name="solver_rel108" localSheetId="3" hidden="1">1</definedName>
    <definedName name="solver_rel108" localSheetId="1" hidden="1">1</definedName>
    <definedName name="solver_rel109" localSheetId="4" hidden="1">2</definedName>
    <definedName name="solver_rel109" localSheetId="3" hidden="1">1</definedName>
    <definedName name="solver_rel109" localSheetId="1" hidden="1">1</definedName>
    <definedName name="solver_rel11" localSheetId="0" hidden="1">1</definedName>
    <definedName name="solver_rel11" localSheetId="5" hidden="1">1</definedName>
    <definedName name="solver_rel11" localSheetId="4" hidden="1">1</definedName>
    <definedName name="solver_rel11" localSheetId="3" hidden="1">1</definedName>
    <definedName name="solver_rel11" localSheetId="1" hidden="1">1</definedName>
    <definedName name="solver_rel110" localSheetId="3" hidden="1">1</definedName>
    <definedName name="solver_rel110" localSheetId="1" hidden="1">1</definedName>
    <definedName name="solver_rel111" localSheetId="3" hidden="1">1</definedName>
    <definedName name="solver_rel111" localSheetId="1" hidden="1">1</definedName>
    <definedName name="solver_rel112" localSheetId="3" hidden="1">1</definedName>
    <definedName name="solver_rel112" localSheetId="1" hidden="1">1</definedName>
    <definedName name="solver_rel113" localSheetId="3" hidden="1">1</definedName>
    <definedName name="solver_rel113" localSheetId="1" hidden="1">1</definedName>
    <definedName name="solver_rel114" localSheetId="3" hidden="1">1</definedName>
    <definedName name="solver_rel114" localSheetId="1" hidden="1">1</definedName>
    <definedName name="solver_rel115" localSheetId="3" hidden="1">1</definedName>
    <definedName name="solver_rel115" localSheetId="1" hidden="1">1</definedName>
    <definedName name="solver_rel116" localSheetId="3" hidden="1">1</definedName>
    <definedName name="solver_rel116" localSheetId="1" hidden="1">1</definedName>
    <definedName name="solver_rel117" localSheetId="3" hidden="1">1</definedName>
    <definedName name="solver_rel117" localSheetId="1" hidden="1">1</definedName>
    <definedName name="solver_rel118" localSheetId="3" hidden="1">1</definedName>
    <definedName name="solver_rel118" localSheetId="1" hidden="1">1</definedName>
    <definedName name="solver_rel119" localSheetId="3" hidden="1">1</definedName>
    <definedName name="solver_rel119" localSheetId="1" hidden="1">1</definedName>
    <definedName name="solver_rel12" localSheetId="0" hidden="1">1</definedName>
    <definedName name="solver_rel12" localSheetId="5" hidden="1">1</definedName>
    <definedName name="solver_rel12" localSheetId="4" hidden="1">1</definedName>
    <definedName name="solver_rel12" localSheetId="3" hidden="1">1</definedName>
    <definedName name="solver_rel12" localSheetId="1" hidden="1">1</definedName>
    <definedName name="solver_rel120" localSheetId="3" hidden="1">1</definedName>
    <definedName name="solver_rel120" localSheetId="1" hidden="1">1</definedName>
    <definedName name="solver_rel121" localSheetId="3" hidden="1">1</definedName>
    <definedName name="solver_rel121" localSheetId="1" hidden="1">1</definedName>
    <definedName name="solver_rel122" localSheetId="3" hidden="1">1</definedName>
    <definedName name="solver_rel122" localSheetId="1" hidden="1">1</definedName>
    <definedName name="solver_rel123" localSheetId="3" hidden="1">1</definedName>
    <definedName name="solver_rel123" localSheetId="1" hidden="1">1</definedName>
    <definedName name="solver_rel124" localSheetId="3" hidden="1">1</definedName>
    <definedName name="solver_rel124" localSheetId="1" hidden="1">1</definedName>
    <definedName name="solver_rel125" localSheetId="3" hidden="1">1</definedName>
    <definedName name="solver_rel125" localSheetId="1" hidden="1">1</definedName>
    <definedName name="solver_rel126" localSheetId="3" hidden="1">1</definedName>
    <definedName name="solver_rel126" localSheetId="1" hidden="1">1</definedName>
    <definedName name="solver_rel127" localSheetId="3" hidden="1">1</definedName>
    <definedName name="solver_rel127" localSheetId="1" hidden="1">1</definedName>
    <definedName name="solver_rel128" localSheetId="3" hidden="1">1</definedName>
    <definedName name="solver_rel128" localSheetId="1" hidden="1">1</definedName>
    <definedName name="solver_rel129" localSheetId="3" hidden="1">1</definedName>
    <definedName name="solver_rel129" localSheetId="1" hidden="1">1</definedName>
    <definedName name="solver_rel13" localSheetId="0" hidden="1">1</definedName>
    <definedName name="solver_rel13" localSheetId="5" hidden="1">1</definedName>
    <definedName name="solver_rel13" localSheetId="4" hidden="1">1</definedName>
    <definedName name="solver_rel13" localSheetId="3" hidden="1">1</definedName>
    <definedName name="solver_rel13" localSheetId="1" hidden="1">1</definedName>
    <definedName name="solver_rel130" localSheetId="3" hidden="1">1</definedName>
    <definedName name="solver_rel130" localSheetId="1" hidden="1">1</definedName>
    <definedName name="solver_rel131" localSheetId="3" hidden="1">1</definedName>
    <definedName name="solver_rel131" localSheetId="1" hidden="1">1</definedName>
    <definedName name="solver_rel132" localSheetId="3" hidden="1">1</definedName>
    <definedName name="solver_rel132" localSheetId="1" hidden="1">1</definedName>
    <definedName name="solver_rel133" localSheetId="3" hidden="1">1</definedName>
    <definedName name="solver_rel133" localSheetId="1" hidden="1">1</definedName>
    <definedName name="solver_rel134" localSheetId="3" hidden="1">1</definedName>
    <definedName name="solver_rel134" localSheetId="1" hidden="1">1</definedName>
    <definedName name="solver_rel135" localSheetId="3" hidden="1">1</definedName>
    <definedName name="solver_rel135" localSheetId="1" hidden="1">1</definedName>
    <definedName name="solver_rel136" localSheetId="3" hidden="1">2</definedName>
    <definedName name="solver_rel136" localSheetId="1" hidden="1">1</definedName>
    <definedName name="solver_rel137" localSheetId="3" hidden="1">2</definedName>
    <definedName name="solver_rel137" localSheetId="1" hidden="1">1</definedName>
    <definedName name="solver_rel138" localSheetId="3" hidden="1">2</definedName>
    <definedName name="solver_rel138" localSheetId="1" hidden="1">1</definedName>
    <definedName name="solver_rel139" localSheetId="3" hidden="1">2</definedName>
    <definedName name="solver_rel139" localSheetId="1" hidden="1">1</definedName>
    <definedName name="solver_rel14" localSheetId="0" hidden="1">1</definedName>
    <definedName name="solver_rel14" localSheetId="5" hidden="1">1</definedName>
    <definedName name="solver_rel14" localSheetId="4" hidden="1">1</definedName>
    <definedName name="solver_rel14" localSheetId="3" hidden="1">1</definedName>
    <definedName name="solver_rel14" localSheetId="1" hidden="1">1</definedName>
    <definedName name="solver_rel140" localSheetId="3" hidden="1">2</definedName>
    <definedName name="solver_rel140" localSheetId="1" hidden="1">1</definedName>
    <definedName name="solver_rel141" localSheetId="3" hidden="1">2</definedName>
    <definedName name="solver_rel141" localSheetId="1" hidden="1">1</definedName>
    <definedName name="solver_rel142" localSheetId="3" hidden="1">2</definedName>
    <definedName name="solver_rel142" localSheetId="1" hidden="1">1</definedName>
    <definedName name="solver_rel143" localSheetId="3" hidden="1">2</definedName>
    <definedName name="solver_rel143" localSheetId="1" hidden="1">1</definedName>
    <definedName name="solver_rel144" localSheetId="3" hidden="1">2</definedName>
    <definedName name="solver_rel144" localSheetId="1" hidden="1">1</definedName>
    <definedName name="solver_rel145" localSheetId="3" hidden="1">2</definedName>
    <definedName name="solver_rel145" localSheetId="1" hidden="1">1</definedName>
    <definedName name="solver_rel146" localSheetId="3" hidden="1">2</definedName>
    <definedName name="solver_rel146" localSheetId="1" hidden="1">1</definedName>
    <definedName name="solver_rel147" localSheetId="3" hidden="1">2</definedName>
    <definedName name="solver_rel147" localSheetId="1" hidden="1">1</definedName>
    <definedName name="solver_rel148" localSheetId="3" hidden="1">2</definedName>
    <definedName name="solver_rel148" localSheetId="1" hidden="1">1</definedName>
    <definedName name="solver_rel149" localSheetId="3" hidden="1">2</definedName>
    <definedName name="solver_rel149" localSheetId="1" hidden="1">1</definedName>
    <definedName name="solver_rel15" localSheetId="0" hidden="1">1</definedName>
    <definedName name="solver_rel15" localSheetId="5" hidden="1">1</definedName>
    <definedName name="solver_rel15" localSheetId="4" hidden="1">1</definedName>
    <definedName name="solver_rel15" localSheetId="3" hidden="1">1</definedName>
    <definedName name="solver_rel15" localSheetId="1" hidden="1">1</definedName>
    <definedName name="solver_rel150" localSheetId="1" hidden="1">1</definedName>
    <definedName name="solver_rel151" localSheetId="1" hidden="1">1</definedName>
    <definedName name="solver_rel152" localSheetId="1" hidden="1">1</definedName>
    <definedName name="solver_rel153" localSheetId="1" hidden="1">1</definedName>
    <definedName name="solver_rel154" localSheetId="1" hidden="1">1</definedName>
    <definedName name="solver_rel155" localSheetId="1" hidden="1">1</definedName>
    <definedName name="solver_rel156" localSheetId="1" hidden="1">1</definedName>
    <definedName name="solver_rel157" localSheetId="1" hidden="1">1</definedName>
    <definedName name="solver_rel158" localSheetId="1" hidden="1">1</definedName>
    <definedName name="solver_rel159" localSheetId="1" hidden="1">1</definedName>
    <definedName name="solver_rel16" localSheetId="0" hidden="1">1</definedName>
    <definedName name="solver_rel16" localSheetId="5" hidden="1">1</definedName>
    <definedName name="solver_rel16" localSheetId="4" hidden="1">1</definedName>
    <definedName name="solver_rel16" localSheetId="3" hidden="1">1</definedName>
    <definedName name="solver_rel16" localSheetId="1" hidden="1">1</definedName>
    <definedName name="solver_rel160" localSheetId="1" hidden="1">1</definedName>
    <definedName name="solver_rel161" localSheetId="1" hidden="1">1</definedName>
    <definedName name="solver_rel162" localSheetId="1" hidden="1">1</definedName>
    <definedName name="solver_rel163" localSheetId="1" hidden="1">1</definedName>
    <definedName name="solver_rel164" localSheetId="1" hidden="1">1</definedName>
    <definedName name="solver_rel165" localSheetId="1" hidden="1">1</definedName>
    <definedName name="solver_rel166" localSheetId="1" hidden="1">1</definedName>
    <definedName name="solver_rel167" localSheetId="1" hidden="1">1</definedName>
    <definedName name="solver_rel168" localSheetId="1" hidden="1">1</definedName>
    <definedName name="solver_rel169" localSheetId="1" hidden="1">1</definedName>
    <definedName name="solver_rel17" localSheetId="0" hidden="1">1</definedName>
    <definedName name="solver_rel17" localSheetId="5" hidden="1">1</definedName>
    <definedName name="solver_rel17" localSheetId="4" hidden="1">1</definedName>
    <definedName name="solver_rel17" localSheetId="3" hidden="1">1</definedName>
    <definedName name="solver_rel17" localSheetId="1" hidden="1">1</definedName>
    <definedName name="solver_rel170" localSheetId="1" hidden="1">1</definedName>
    <definedName name="solver_rel171" localSheetId="1" hidden="1">1</definedName>
    <definedName name="solver_rel172" localSheetId="1" hidden="1">1</definedName>
    <definedName name="solver_rel173" localSheetId="1" hidden="1">1</definedName>
    <definedName name="solver_rel174" localSheetId="1" hidden="1">1</definedName>
    <definedName name="solver_rel175" localSheetId="1" hidden="1">1</definedName>
    <definedName name="solver_rel176" localSheetId="1" hidden="1">1</definedName>
    <definedName name="solver_rel177" localSheetId="1" hidden="1">1</definedName>
    <definedName name="solver_rel178" localSheetId="1" hidden="1">1</definedName>
    <definedName name="solver_rel179" localSheetId="1" hidden="1">1</definedName>
    <definedName name="solver_rel18" localSheetId="0" hidden="1">1</definedName>
    <definedName name="solver_rel18" localSheetId="5" hidden="1">1</definedName>
    <definedName name="solver_rel18" localSheetId="4" hidden="1">1</definedName>
    <definedName name="solver_rel18" localSheetId="3" hidden="1">1</definedName>
    <definedName name="solver_rel18" localSheetId="1" hidden="1">1</definedName>
    <definedName name="solver_rel180" localSheetId="1" hidden="1">1</definedName>
    <definedName name="solver_rel181" localSheetId="1" hidden="1">1</definedName>
    <definedName name="solver_rel182" localSheetId="1" hidden="1">1</definedName>
    <definedName name="solver_rel183" localSheetId="1" hidden="1">1</definedName>
    <definedName name="solver_rel184" localSheetId="1" hidden="1">1</definedName>
    <definedName name="solver_rel185" localSheetId="1" hidden="1">1</definedName>
    <definedName name="solver_rel186" localSheetId="1" hidden="1">1</definedName>
    <definedName name="solver_rel187" localSheetId="1" hidden="1">1</definedName>
    <definedName name="solver_rel188" localSheetId="1" hidden="1">1</definedName>
    <definedName name="solver_rel189" localSheetId="1" hidden="1">1</definedName>
    <definedName name="solver_rel19" localSheetId="0" hidden="1">1</definedName>
    <definedName name="solver_rel19" localSheetId="5" hidden="1">1</definedName>
    <definedName name="solver_rel19" localSheetId="4" hidden="1">1</definedName>
    <definedName name="solver_rel19" localSheetId="3" hidden="1">1</definedName>
    <definedName name="solver_rel19" localSheetId="1" hidden="1">1</definedName>
    <definedName name="solver_rel190" localSheetId="1" hidden="1">1</definedName>
    <definedName name="solver_rel191" localSheetId="1" hidden="1">1</definedName>
    <definedName name="solver_rel192" localSheetId="1" hidden="1">1</definedName>
    <definedName name="solver_rel193" localSheetId="1" hidden="1">1</definedName>
    <definedName name="solver_rel194" localSheetId="1" hidden="1">1</definedName>
    <definedName name="solver_rel195" localSheetId="1" hidden="1">1</definedName>
    <definedName name="solver_rel196" localSheetId="1" hidden="1">2</definedName>
    <definedName name="solver_rel197" localSheetId="1" hidden="1">2</definedName>
    <definedName name="solver_rel198" localSheetId="1" hidden="1">2</definedName>
    <definedName name="solver_rel199" localSheetId="1" hidden="1">2</definedName>
    <definedName name="solver_rel2" localSheetId="0" hidden="1">5</definedName>
    <definedName name="solver_rel2" localSheetId="5" hidden="1">5</definedName>
    <definedName name="solver_rel2" localSheetId="4" hidden="1">5</definedName>
    <definedName name="solver_rel2" localSheetId="3" hidden="1">5</definedName>
    <definedName name="solver_rel2" localSheetId="1" hidden="1">5</definedName>
    <definedName name="solver_rel20" localSheetId="0" hidden="1">1</definedName>
    <definedName name="solver_rel20" localSheetId="5" hidden="1">1</definedName>
    <definedName name="solver_rel20" localSheetId="4" hidden="1">1</definedName>
    <definedName name="solver_rel20" localSheetId="3" hidden="1">1</definedName>
    <definedName name="solver_rel20" localSheetId="1" hidden="1">1</definedName>
    <definedName name="solver_rel200" localSheetId="1" hidden="1">2</definedName>
    <definedName name="solver_rel201" localSheetId="1" hidden="1">2</definedName>
    <definedName name="solver_rel202" localSheetId="1" hidden="1">2</definedName>
    <definedName name="solver_rel203" localSheetId="1" hidden="1">2</definedName>
    <definedName name="solver_rel204" localSheetId="1" hidden="1">2</definedName>
    <definedName name="solver_rel205" localSheetId="1" hidden="1">2</definedName>
    <definedName name="solver_rel206" localSheetId="1" hidden="1">2</definedName>
    <definedName name="solver_rel207" localSheetId="1" hidden="1">2</definedName>
    <definedName name="solver_rel208" localSheetId="1" hidden="1">2</definedName>
    <definedName name="solver_rel209" localSheetId="1" hidden="1">2</definedName>
    <definedName name="solver_rel21" localSheetId="0" hidden="1">2</definedName>
    <definedName name="solver_rel21" localSheetId="5" hidden="1">1</definedName>
    <definedName name="solver_rel21" localSheetId="4" hidden="1">1</definedName>
    <definedName name="solver_rel21" localSheetId="3" hidden="1">1</definedName>
    <definedName name="solver_rel21" localSheetId="1" hidden="1">1</definedName>
    <definedName name="solver_rel22" localSheetId="0" hidden="1">2</definedName>
    <definedName name="solver_rel22" localSheetId="5" hidden="1">1</definedName>
    <definedName name="solver_rel22" localSheetId="4" hidden="1">1</definedName>
    <definedName name="solver_rel22" localSheetId="3" hidden="1">1</definedName>
    <definedName name="solver_rel22" localSheetId="1" hidden="1">1</definedName>
    <definedName name="solver_rel23" localSheetId="0" hidden="1">3</definedName>
    <definedName name="solver_rel23" localSheetId="5" hidden="1">1</definedName>
    <definedName name="solver_rel23" localSheetId="4" hidden="1">1</definedName>
    <definedName name="solver_rel23" localSheetId="3" hidden="1">1</definedName>
    <definedName name="solver_rel23" localSheetId="1" hidden="1">1</definedName>
    <definedName name="solver_rel24" localSheetId="0" hidden="1">3</definedName>
    <definedName name="solver_rel24" localSheetId="5" hidden="1">1</definedName>
    <definedName name="solver_rel24" localSheetId="4" hidden="1">1</definedName>
    <definedName name="solver_rel24" localSheetId="3" hidden="1">1</definedName>
    <definedName name="solver_rel24" localSheetId="1" hidden="1">1</definedName>
    <definedName name="solver_rel25" localSheetId="0" hidden="1">3</definedName>
    <definedName name="solver_rel25" localSheetId="5" hidden="1">1</definedName>
    <definedName name="solver_rel25" localSheetId="4" hidden="1">1</definedName>
    <definedName name="solver_rel25" localSheetId="3" hidden="1">1</definedName>
    <definedName name="solver_rel25" localSheetId="1" hidden="1">1</definedName>
    <definedName name="solver_rel26" localSheetId="0" hidden="1">2</definedName>
    <definedName name="solver_rel26" localSheetId="5" hidden="1">1</definedName>
    <definedName name="solver_rel26" localSheetId="4" hidden="1">1</definedName>
    <definedName name="solver_rel26" localSheetId="3" hidden="1">1</definedName>
    <definedName name="solver_rel26" localSheetId="1" hidden="1">1</definedName>
    <definedName name="solver_rel27" localSheetId="0" hidden="1">2</definedName>
    <definedName name="solver_rel27" localSheetId="5" hidden="1">1</definedName>
    <definedName name="solver_rel27" localSheetId="4" hidden="1">1</definedName>
    <definedName name="solver_rel27" localSheetId="3" hidden="1">1</definedName>
    <definedName name="solver_rel27" localSheetId="1" hidden="1">1</definedName>
    <definedName name="solver_rel28" localSheetId="0" hidden="1">2</definedName>
    <definedName name="solver_rel28" localSheetId="5" hidden="1">1</definedName>
    <definedName name="solver_rel28" localSheetId="4" hidden="1">1</definedName>
    <definedName name="solver_rel28" localSheetId="3" hidden="1">1</definedName>
    <definedName name="solver_rel28" localSheetId="1" hidden="1">1</definedName>
    <definedName name="solver_rel29" localSheetId="0" hidden="1">2</definedName>
    <definedName name="solver_rel29" localSheetId="5" hidden="1">1</definedName>
    <definedName name="solver_rel29" localSheetId="4" hidden="1">1</definedName>
    <definedName name="solver_rel29" localSheetId="3" hidden="1">1</definedName>
    <definedName name="solver_rel29" localSheetId="1" hidden="1">1</definedName>
    <definedName name="solver_rel3" localSheetId="0" hidden="1">5</definedName>
    <definedName name="solver_rel3" localSheetId="5" hidden="1">5</definedName>
    <definedName name="solver_rel3" localSheetId="4" hidden="1">5</definedName>
    <definedName name="solver_rel3" localSheetId="3" hidden="1">5</definedName>
    <definedName name="solver_rel3" localSheetId="1" hidden="1">5</definedName>
    <definedName name="solver_rel30" localSheetId="0" hidden="1">2</definedName>
    <definedName name="solver_rel30" localSheetId="5" hidden="1">1</definedName>
    <definedName name="solver_rel30" localSheetId="4" hidden="1">1</definedName>
    <definedName name="solver_rel30" localSheetId="3" hidden="1">1</definedName>
    <definedName name="solver_rel30" localSheetId="1" hidden="1">1</definedName>
    <definedName name="solver_rel31" localSheetId="0" hidden="1">2</definedName>
    <definedName name="solver_rel31" localSheetId="5" hidden="1">1</definedName>
    <definedName name="solver_rel31" localSheetId="4" hidden="1">1</definedName>
    <definedName name="solver_rel31" localSheetId="3" hidden="1">1</definedName>
    <definedName name="solver_rel31" localSheetId="1" hidden="1">1</definedName>
    <definedName name="solver_rel32" localSheetId="0" hidden="1">2</definedName>
    <definedName name="solver_rel32" localSheetId="5" hidden="1">1</definedName>
    <definedName name="solver_rel32" localSheetId="4" hidden="1">1</definedName>
    <definedName name="solver_rel32" localSheetId="3" hidden="1">1</definedName>
    <definedName name="solver_rel32" localSheetId="1" hidden="1">1</definedName>
    <definedName name="solver_rel33" localSheetId="0" hidden="1">2</definedName>
    <definedName name="solver_rel33" localSheetId="5" hidden="1">1</definedName>
    <definedName name="solver_rel33" localSheetId="4" hidden="1">1</definedName>
    <definedName name="solver_rel33" localSheetId="3" hidden="1">1</definedName>
    <definedName name="solver_rel33" localSheetId="1" hidden="1">1</definedName>
    <definedName name="solver_rel34" localSheetId="0" hidden="1">2</definedName>
    <definedName name="solver_rel34" localSheetId="5" hidden="1">1</definedName>
    <definedName name="solver_rel34" localSheetId="4" hidden="1">1</definedName>
    <definedName name="solver_rel34" localSheetId="3" hidden="1">1</definedName>
    <definedName name="solver_rel34" localSheetId="1" hidden="1">1</definedName>
    <definedName name="solver_rel35" localSheetId="0" hidden="1">2</definedName>
    <definedName name="solver_rel35" localSheetId="5" hidden="1">1</definedName>
    <definedName name="solver_rel35" localSheetId="4" hidden="1">1</definedName>
    <definedName name="solver_rel35" localSheetId="3" hidden="1">1</definedName>
    <definedName name="solver_rel35" localSheetId="1" hidden="1">1</definedName>
    <definedName name="solver_rel36" localSheetId="0" hidden="1">2</definedName>
    <definedName name="solver_rel36" localSheetId="5" hidden="1">1</definedName>
    <definedName name="solver_rel36" localSheetId="4" hidden="1">1</definedName>
    <definedName name="solver_rel36" localSheetId="3" hidden="1">1</definedName>
    <definedName name="solver_rel36" localSheetId="1" hidden="1">1</definedName>
    <definedName name="solver_rel37" localSheetId="0" hidden="1">2</definedName>
    <definedName name="solver_rel37" localSheetId="5" hidden="1">1</definedName>
    <definedName name="solver_rel37" localSheetId="4" hidden="1">1</definedName>
    <definedName name="solver_rel37" localSheetId="3" hidden="1">1</definedName>
    <definedName name="solver_rel37" localSheetId="1" hidden="1">1</definedName>
    <definedName name="solver_rel38" localSheetId="0" hidden="1">2</definedName>
    <definedName name="solver_rel38" localSheetId="5" hidden="1">1</definedName>
    <definedName name="solver_rel38" localSheetId="4" hidden="1">1</definedName>
    <definedName name="solver_rel38" localSheetId="3" hidden="1">1</definedName>
    <definedName name="solver_rel38" localSheetId="1" hidden="1">1</definedName>
    <definedName name="solver_rel39" localSheetId="0" hidden="1">2</definedName>
    <definedName name="solver_rel39" localSheetId="5" hidden="1">1</definedName>
    <definedName name="solver_rel39" localSheetId="4" hidden="1">1</definedName>
    <definedName name="solver_rel39" localSheetId="3" hidden="1">1</definedName>
    <definedName name="solver_rel39" localSheetId="1" hidden="1">1</definedName>
    <definedName name="solver_rel4" localSheetId="0" hidden="1">5</definedName>
    <definedName name="solver_rel4" localSheetId="5" hidden="1">5</definedName>
    <definedName name="solver_rel4" localSheetId="4" hidden="1">5</definedName>
    <definedName name="solver_rel4" localSheetId="3" hidden="1">5</definedName>
    <definedName name="solver_rel4" localSheetId="1" hidden="1">5</definedName>
    <definedName name="solver_rel40" localSheetId="0" hidden="1">2</definedName>
    <definedName name="solver_rel40" localSheetId="5" hidden="1">1</definedName>
    <definedName name="solver_rel40" localSheetId="4" hidden="1">1</definedName>
    <definedName name="solver_rel40" localSheetId="3" hidden="1">1</definedName>
    <definedName name="solver_rel40" localSheetId="1" hidden="1">1</definedName>
    <definedName name="solver_rel41" localSheetId="0" hidden="1">1</definedName>
    <definedName name="solver_rel41" localSheetId="5" hidden="1">1</definedName>
    <definedName name="solver_rel41" localSheetId="4" hidden="1">1</definedName>
    <definedName name="solver_rel41" localSheetId="3" hidden="1">1</definedName>
    <definedName name="solver_rel41" localSheetId="1" hidden="1">1</definedName>
    <definedName name="solver_rel42" localSheetId="0" hidden="1">1</definedName>
    <definedName name="solver_rel42" localSheetId="5" hidden="1">1</definedName>
    <definedName name="solver_rel42" localSheetId="4" hidden="1">1</definedName>
    <definedName name="solver_rel42" localSheetId="3" hidden="1">1</definedName>
    <definedName name="solver_rel42" localSheetId="1" hidden="1">1</definedName>
    <definedName name="solver_rel43" localSheetId="0" hidden="1">1</definedName>
    <definedName name="solver_rel43" localSheetId="5" hidden="1">1</definedName>
    <definedName name="solver_rel43" localSheetId="4" hidden="1">1</definedName>
    <definedName name="solver_rel43" localSheetId="3" hidden="1">1</definedName>
    <definedName name="solver_rel43" localSheetId="1" hidden="1">1</definedName>
    <definedName name="solver_rel44" localSheetId="0" hidden="1">1</definedName>
    <definedName name="solver_rel44" localSheetId="5" hidden="1">1</definedName>
    <definedName name="solver_rel44" localSheetId="4" hidden="1">1</definedName>
    <definedName name="solver_rel44" localSheetId="3" hidden="1">1</definedName>
    <definedName name="solver_rel44" localSheetId="1" hidden="1">1</definedName>
    <definedName name="solver_rel45" localSheetId="0" hidden="1">2</definedName>
    <definedName name="solver_rel45" localSheetId="5" hidden="1">2</definedName>
    <definedName name="solver_rel45" localSheetId="4" hidden="1">2</definedName>
    <definedName name="solver_rel45" localSheetId="3" hidden="1">2</definedName>
    <definedName name="solver_rel45" localSheetId="1" hidden="1">2</definedName>
    <definedName name="solver_rel46" localSheetId="0" hidden="1">2</definedName>
    <definedName name="solver_rel46" localSheetId="5" hidden="1">2</definedName>
    <definedName name="solver_rel46" localSheetId="4" hidden="1">2</definedName>
    <definedName name="solver_rel46" localSheetId="3" hidden="1">2</definedName>
    <definedName name="solver_rel46" localSheetId="1" hidden="1">2</definedName>
    <definedName name="solver_rel47" localSheetId="0" hidden="1">3</definedName>
    <definedName name="solver_rel47" localSheetId="5" hidden="1">3</definedName>
    <definedName name="solver_rel47" localSheetId="4" hidden="1">3</definedName>
    <definedName name="solver_rel47" localSheetId="3" hidden="1">3</definedName>
    <definedName name="solver_rel47" localSheetId="1" hidden="1">3</definedName>
    <definedName name="solver_rel48" localSheetId="0" hidden="1">3</definedName>
    <definedName name="solver_rel48" localSheetId="5" hidden="1">3</definedName>
    <definedName name="solver_rel48" localSheetId="4" hidden="1">3</definedName>
    <definedName name="solver_rel48" localSheetId="3" hidden="1">3</definedName>
    <definedName name="solver_rel48" localSheetId="1" hidden="1">3</definedName>
    <definedName name="solver_rel49" localSheetId="0" hidden="1">3</definedName>
    <definedName name="solver_rel49" localSheetId="5" hidden="1">3</definedName>
    <definedName name="solver_rel49" localSheetId="4" hidden="1">3</definedName>
    <definedName name="solver_rel49" localSheetId="3" hidden="1">3</definedName>
    <definedName name="solver_rel49" localSheetId="1" hidden="1">3</definedName>
    <definedName name="solver_rel5" localSheetId="0" hidden="1">5</definedName>
    <definedName name="solver_rel5" localSheetId="5" hidden="1">5</definedName>
    <definedName name="solver_rel5" localSheetId="4" hidden="1">5</definedName>
    <definedName name="solver_rel5" localSheetId="3" hidden="1">5</definedName>
    <definedName name="solver_rel5" localSheetId="1" hidden="1">5</definedName>
    <definedName name="solver_rel50" localSheetId="0" hidden="1">2</definedName>
    <definedName name="solver_rel50" localSheetId="5" hidden="1">2</definedName>
    <definedName name="solver_rel50" localSheetId="4" hidden="1">3</definedName>
    <definedName name="solver_rel50" localSheetId="3" hidden="1">3</definedName>
    <definedName name="solver_rel50" localSheetId="1" hidden="1">3</definedName>
    <definedName name="solver_rel51" localSheetId="0" hidden="1">2</definedName>
    <definedName name="solver_rel51" localSheetId="5" hidden="1">2</definedName>
    <definedName name="solver_rel51" localSheetId="4" hidden="1">1</definedName>
    <definedName name="solver_rel51" localSheetId="3" hidden="1">1</definedName>
    <definedName name="solver_rel51" localSheetId="1" hidden="1">1</definedName>
    <definedName name="solver_rel52" localSheetId="0" hidden="1">2</definedName>
    <definedName name="solver_rel52" localSheetId="5" hidden="1">2</definedName>
    <definedName name="solver_rel52" localSheetId="4" hidden="1">1</definedName>
    <definedName name="solver_rel52" localSheetId="3" hidden="1">1</definedName>
    <definedName name="solver_rel52" localSheetId="1" hidden="1">1</definedName>
    <definedName name="solver_rel53" localSheetId="0" hidden="1">2</definedName>
    <definedName name="solver_rel53" localSheetId="5" hidden="1">2</definedName>
    <definedName name="solver_rel53" localSheetId="4" hidden="1">1</definedName>
    <definedName name="solver_rel53" localSheetId="3" hidden="1">1</definedName>
    <definedName name="solver_rel53" localSheetId="1" hidden="1">1</definedName>
    <definedName name="solver_rel54" localSheetId="0" hidden="1">2</definedName>
    <definedName name="solver_rel54" localSheetId="5" hidden="1">2</definedName>
    <definedName name="solver_rel54" localSheetId="4" hidden="1">1</definedName>
    <definedName name="solver_rel54" localSheetId="3" hidden="1">1</definedName>
    <definedName name="solver_rel54" localSheetId="1" hidden="1">1</definedName>
    <definedName name="solver_rel55" localSheetId="0" hidden="1">2</definedName>
    <definedName name="solver_rel55" localSheetId="5" hidden="1">2</definedName>
    <definedName name="solver_rel55" localSheetId="4" hidden="1">1</definedName>
    <definedName name="solver_rel55" localSheetId="3" hidden="1">1</definedName>
    <definedName name="solver_rel55" localSheetId="1" hidden="1">1</definedName>
    <definedName name="solver_rel56" localSheetId="0" hidden="1">3</definedName>
    <definedName name="solver_rel56" localSheetId="5" hidden="1">2</definedName>
    <definedName name="solver_rel56" localSheetId="4" hidden="1">1</definedName>
    <definedName name="solver_rel56" localSheetId="3" hidden="1">1</definedName>
    <definedName name="solver_rel56" localSheetId="1" hidden="1">1</definedName>
    <definedName name="solver_rel57" localSheetId="0" hidden="1">3</definedName>
    <definedName name="solver_rel57" localSheetId="5" hidden="1">2</definedName>
    <definedName name="solver_rel57" localSheetId="4" hidden="1">1</definedName>
    <definedName name="solver_rel57" localSheetId="3" hidden="1">1</definedName>
    <definedName name="solver_rel57" localSheetId="1" hidden="1">1</definedName>
    <definedName name="solver_rel58" localSheetId="0" hidden="1">2</definedName>
    <definedName name="solver_rel58" localSheetId="5" hidden="1">2</definedName>
    <definedName name="solver_rel58" localSheetId="4" hidden="1">1</definedName>
    <definedName name="solver_rel58" localSheetId="3" hidden="1">1</definedName>
    <definedName name="solver_rel58" localSheetId="1" hidden="1">1</definedName>
    <definedName name="solver_rel59" localSheetId="0" hidden="1">2</definedName>
    <definedName name="solver_rel59" localSheetId="5" hidden="1">2</definedName>
    <definedName name="solver_rel59" localSheetId="4" hidden="1">1</definedName>
    <definedName name="solver_rel59" localSheetId="3" hidden="1">1</definedName>
    <definedName name="solver_rel59" localSheetId="1" hidden="1">1</definedName>
    <definedName name="solver_rel6" localSheetId="0" hidden="1">5</definedName>
    <definedName name="solver_rel6" localSheetId="5" hidden="1">5</definedName>
    <definedName name="solver_rel6" localSheetId="4" hidden="1">5</definedName>
    <definedName name="solver_rel6" localSheetId="3" hidden="1">5</definedName>
    <definedName name="solver_rel6" localSheetId="1" hidden="1">5</definedName>
    <definedName name="solver_rel60" localSheetId="0" hidden="1">2</definedName>
    <definedName name="solver_rel60" localSheetId="5" hidden="1">2</definedName>
    <definedName name="solver_rel60" localSheetId="4" hidden="1">1</definedName>
    <definedName name="solver_rel60" localSheetId="3" hidden="1">1</definedName>
    <definedName name="solver_rel60" localSheetId="1" hidden="1">1</definedName>
    <definedName name="solver_rel61" localSheetId="0" hidden="1">2</definedName>
    <definedName name="solver_rel61" localSheetId="5" hidden="1">2</definedName>
    <definedName name="solver_rel61" localSheetId="4" hidden="1">1</definedName>
    <definedName name="solver_rel61" localSheetId="3" hidden="1">1</definedName>
    <definedName name="solver_rel61" localSheetId="1" hidden="1">1</definedName>
    <definedName name="solver_rel62" localSheetId="0" hidden="1">2</definedName>
    <definedName name="solver_rel62" localSheetId="5" hidden="1">2</definedName>
    <definedName name="solver_rel62" localSheetId="4" hidden="1">1</definedName>
    <definedName name="solver_rel62" localSheetId="3" hidden="1">1</definedName>
    <definedName name="solver_rel62" localSheetId="1" hidden="1">1</definedName>
    <definedName name="solver_rel63" localSheetId="0" hidden="1">2</definedName>
    <definedName name="solver_rel63" localSheetId="5" hidden="1">2</definedName>
    <definedName name="solver_rel63" localSheetId="4" hidden="1">1</definedName>
    <definedName name="solver_rel63" localSheetId="3" hidden="1">1</definedName>
    <definedName name="solver_rel63" localSheetId="1" hidden="1">1</definedName>
    <definedName name="solver_rel64" localSheetId="4" hidden="1">1</definedName>
    <definedName name="solver_rel64" localSheetId="3" hidden="1">1</definedName>
    <definedName name="solver_rel64" localSheetId="1" hidden="1">1</definedName>
    <definedName name="solver_rel65" localSheetId="4" hidden="1">1</definedName>
    <definedName name="solver_rel65" localSheetId="3" hidden="1">1</definedName>
    <definedName name="solver_rel65" localSheetId="1" hidden="1">1</definedName>
    <definedName name="solver_rel66" localSheetId="4" hidden="1">1</definedName>
    <definedName name="solver_rel66" localSheetId="3" hidden="1">1</definedName>
    <definedName name="solver_rel66" localSheetId="1" hidden="1">1</definedName>
    <definedName name="solver_rel67" localSheetId="4" hidden="1">1</definedName>
    <definedName name="solver_rel67" localSheetId="3" hidden="1">1</definedName>
    <definedName name="solver_rel67" localSheetId="1" hidden="1">1</definedName>
    <definedName name="solver_rel68" localSheetId="4" hidden="1">1</definedName>
    <definedName name="solver_rel68" localSheetId="3" hidden="1">1</definedName>
    <definedName name="solver_rel68" localSheetId="1" hidden="1">1</definedName>
    <definedName name="solver_rel69" localSheetId="4" hidden="1">1</definedName>
    <definedName name="solver_rel69" localSheetId="3" hidden="1">1</definedName>
    <definedName name="solver_rel69" localSheetId="1" hidden="1">1</definedName>
    <definedName name="solver_rel7" localSheetId="0" hidden="1">5</definedName>
    <definedName name="solver_rel7" localSheetId="5" hidden="1">5</definedName>
    <definedName name="solver_rel7" localSheetId="4" hidden="1">5</definedName>
    <definedName name="solver_rel7" localSheetId="3" hidden="1">5</definedName>
    <definedName name="solver_rel7" localSheetId="1" hidden="1">5</definedName>
    <definedName name="solver_rel70" localSheetId="4" hidden="1">1</definedName>
    <definedName name="solver_rel70" localSheetId="3" hidden="1">1</definedName>
    <definedName name="solver_rel70" localSheetId="1" hidden="1">1</definedName>
    <definedName name="solver_rel71" localSheetId="4" hidden="1">1</definedName>
    <definedName name="solver_rel71" localSheetId="3" hidden="1">1</definedName>
    <definedName name="solver_rel71" localSheetId="1" hidden="1">1</definedName>
    <definedName name="solver_rel72" localSheetId="4" hidden="1">1</definedName>
    <definedName name="solver_rel72" localSheetId="3" hidden="1">1</definedName>
    <definedName name="solver_rel72" localSheetId="1" hidden="1">1</definedName>
    <definedName name="solver_rel73" localSheetId="4" hidden="1">1</definedName>
    <definedName name="solver_rel73" localSheetId="3" hidden="1">1</definedName>
    <definedName name="solver_rel73" localSheetId="1" hidden="1">1</definedName>
    <definedName name="solver_rel74" localSheetId="4" hidden="1">1</definedName>
    <definedName name="solver_rel74" localSheetId="3" hidden="1">1</definedName>
    <definedName name="solver_rel74" localSheetId="1" hidden="1">1</definedName>
    <definedName name="solver_rel75" localSheetId="4" hidden="1">1</definedName>
    <definedName name="solver_rel75" localSheetId="3" hidden="1">1</definedName>
    <definedName name="solver_rel75" localSheetId="1" hidden="1">1</definedName>
    <definedName name="solver_rel76" localSheetId="4" hidden="1">1</definedName>
    <definedName name="solver_rel76" localSheetId="3" hidden="1">1</definedName>
    <definedName name="solver_rel76" localSheetId="1" hidden="1">1</definedName>
    <definedName name="solver_rel77" localSheetId="4" hidden="1">1</definedName>
    <definedName name="solver_rel77" localSheetId="3" hidden="1">1</definedName>
    <definedName name="solver_rel77" localSheetId="1" hidden="1">1</definedName>
    <definedName name="solver_rel78" localSheetId="4" hidden="1">1</definedName>
    <definedName name="solver_rel78" localSheetId="3" hidden="1">1</definedName>
    <definedName name="solver_rel78" localSheetId="1" hidden="1">1</definedName>
    <definedName name="solver_rel79" localSheetId="4" hidden="1">1</definedName>
    <definedName name="solver_rel79" localSheetId="3" hidden="1">1</definedName>
    <definedName name="solver_rel79" localSheetId="1" hidden="1">1</definedName>
    <definedName name="solver_rel8" localSheetId="0" hidden="1">5</definedName>
    <definedName name="solver_rel8" localSheetId="5" hidden="1">5</definedName>
    <definedName name="solver_rel8" localSheetId="4" hidden="1">5</definedName>
    <definedName name="solver_rel8" localSheetId="3" hidden="1">5</definedName>
    <definedName name="solver_rel8" localSheetId="1" hidden="1">5</definedName>
    <definedName name="solver_rel80" localSheetId="4" hidden="1">1</definedName>
    <definedName name="solver_rel80" localSheetId="3" hidden="1">1</definedName>
    <definedName name="solver_rel80" localSheetId="1" hidden="1">1</definedName>
    <definedName name="solver_rel81" localSheetId="4" hidden="1">1</definedName>
    <definedName name="solver_rel81" localSheetId="3" hidden="1">1</definedName>
    <definedName name="solver_rel81" localSheetId="1" hidden="1">1</definedName>
    <definedName name="solver_rel82" localSheetId="4" hidden="1">1</definedName>
    <definedName name="solver_rel82" localSheetId="3" hidden="1">1</definedName>
    <definedName name="solver_rel82" localSheetId="1" hidden="1">1</definedName>
    <definedName name="solver_rel83" localSheetId="4" hidden="1">1</definedName>
    <definedName name="solver_rel83" localSheetId="3" hidden="1">1</definedName>
    <definedName name="solver_rel83" localSheetId="1" hidden="1">1</definedName>
    <definedName name="solver_rel84" localSheetId="4" hidden="1">1</definedName>
    <definedName name="solver_rel84" localSheetId="3" hidden="1">1</definedName>
    <definedName name="solver_rel84" localSheetId="1" hidden="1">1</definedName>
    <definedName name="solver_rel85" localSheetId="4" hidden="1">1</definedName>
    <definedName name="solver_rel85" localSheetId="3" hidden="1">1</definedName>
    <definedName name="solver_rel85" localSheetId="1" hidden="1">1</definedName>
    <definedName name="solver_rel86" localSheetId="4" hidden="1">1</definedName>
    <definedName name="solver_rel86" localSheetId="3" hidden="1">1</definedName>
    <definedName name="solver_rel86" localSheetId="1" hidden="1">1</definedName>
    <definedName name="solver_rel87" localSheetId="4" hidden="1">1</definedName>
    <definedName name="solver_rel87" localSheetId="3" hidden="1">1</definedName>
    <definedName name="solver_rel87" localSheetId="1" hidden="1">1</definedName>
    <definedName name="solver_rel88" localSheetId="4" hidden="1">2</definedName>
    <definedName name="solver_rel88" localSheetId="3" hidden="1">1</definedName>
    <definedName name="solver_rel88" localSheetId="1" hidden="1">1</definedName>
    <definedName name="solver_rel89" localSheetId="4" hidden="1">2</definedName>
    <definedName name="solver_rel89" localSheetId="3" hidden="1">1</definedName>
    <definedName name="solver_rel89" localSheetId="1" hidden="1">1</definedName>
    <definedName name="solver_rel9" localSheetId="0" hidden="1">1</definedName>
    <definedName name="solver_rel9" localSheetId="5" hidden="1">1</definedName>
    <definedName name="solver_rel9" localSheetId="4" hidden="1">1</definedName>
    <definedName name="solver_rel9" localSheetId="3" hidden="1">1</definedName>
    <definedName name="solver_rel9" localSheetId="1" hidden="1">1</definedName>
    <definedName name="solver_rel90" localSheetId="4" hidden="1">2</definedName>
    <definedName name="solver_rel90" localSheetId="3" hidden="1">1</definedName>
    <definedName name="solver_rel90" localSheetId="1" hidden="1">1</definedName>
    <definedName name="solver_rel91" localSheetId="4" hidden="1">2</definedName>
    <definedName name="solver_rel91" localSheetId="3" hidden="1">1</definedName>
    <definedName name="solver_rel91" localSheetId="1" hidden="1">1</definedName>
    <definedName name="solver_rel92" localSheetId="4" hidden="1">2</definedName>
    <definedName name="solver_rel92" localSheetId="3" hidden="1">1</definedName>
    <definedName name="solver_rel92" localSheetId="1" hidden="1">1</definedName>
    <definedName name="solver_rel93" localSheetId="4" hidden="1">2</definedName>
    <definedName name="solver_rel93" localSheetId="3" hidden="1">1</definedName>
    <definedName name="solver_rel93" localSheetId="1" hidden="1">1</definedName>
    <definedName name="solver_rel94" localSheetId="4" hidden="1">2</definedName>
    <definedName name="solver_rel94" localSheetId="3" hidden="1">1</definedName>
    <definedName name="solver_rel94" localSheetId="1" hidden="1">1</definedName>
    <definedName name="solver_rel95" localSheetId="4" hidden="1">2</definedName>
    <definedName name="solver_rel95" localSheetId="3" hidden="1">1</definedName>
    <definedName name="solver_rel95" localSheetId="1" hidden="1">1</definedName>
    <definedName name="solver_rel96" localSheetId="4" hidden="1">2</definedName>
    <definedName name="solver_rel96" localSheetId="3" hidden="1">1</definedName>
    <definedName name="solver_rel96" localSheetId="1" hidden="1">1</definedName>
    <definedName name="solver_rel97" localSheetId="4" hidden="1">2</definedName>
    <definedName name="solver_rel97" localSheetId="3" hidden="1">1</definedName>
    <definedName name="solver_rel97" localSheetId="1" hidden="1">1</definedName>
    <definedName name="solver_rel98" localSheetId="4" hidden="1">2</definedName>
    <definedName name="solver_rel98" localSheetId="3" hidden="1">1</definedName>
    <definedName name="solver_rel98" localSheetId="1" hidden="1">1</definedName>
    <definedName name="solver_rel99" localSheetId="4" hidden="1">2</definedName>
    <definedName name="solver_rel99" localSheetId="3" hidden="1">1</definedName>
    <definedName name="solver_rel99" localSheetId="1" hidden="1">1</definedName>
    <definedName name="solver_rhs1" localSheetId="0" hidden="1">binary</definedName>
    <definedName name="solver_rhs1" localSheetId="5" hidden="1">binary</definedName>
    <definedName name="solver_rhs1" localSheetId="4" hidden="1">binary</definedName>
    <definedName name="solver_rhs1" localSheetId="3" hidden="1">binary</definedName>
    <definedName name="solver_rhs1" localSheetId="1" hidden="1">binary</definedName>
    <definedName name="solver_rhs10" localSheetId="0" hidden="1">0</definedName>
    <definedName name="solver_rhs10" localSheetId="5" hidden="1">0</definedName>
    <definedName name="solver_rhs10" localSheetId="4" hidden="1">0</definedName>
    <definedName name="solver_rhs10" localSheetId="3" hidden="1">0</definedName>
    <definedName name="solver_rhs10" localSheetId="1" hidden="1">0</definedName>
    <definedName name="solver_rhs100" localSheetId="4" hidden="1">1</definedName>
    <definedName name="solver_rhs100" localSheetId="3" hidden="1">0</definedName>
    <definedName name="solver_rhs100" localSheetId="1" hidden="1">0</definedName>
    <definedName name="solver_rhs101" localSheetId="4" hidden="1">1</definedName>
    <definedName name="solver_rhs101" localSheetId="3" hidden="1">0</definedName>
    <definedName name="solver_rhs101" localSheetId="1" hidden="1">0</definedName>
    <definedName name="solver_rhs102" localSheetId="4" hidden="1">1</definedName>
    <definedName name="solver_rhs102" localSheetId="3" hidden="1">0</definedName>
    <definedName name="solver_rhs102" localSheetId="1" hidden="1">0</definedName>
    <definedName name="solver_rhs103" localSheetId="4" hidden="1">1</definedName>
    <definedName name="solver_rhs103" localSheetId="3" hidden="1">0</definedName>
    <definedName name="solver_rhs103" localSheetId="1" hidden="1">0</definedName>
    <definedName name="solver_rhs104" localSheetId="4" hidden="1">'final c4'!$D$16:$D$19</definedName>
    <definedName name="solver_rhs104" localSheetId="3" hidden="1">0</definedName>
    <definedName name="solver_rhs104" localSheetId="1" hidden="1">0</definedName>
    <definedName name="solver_rhs105" localSheetId="4" hidden="1">'final c4'!$F$16:$F$19</definedName>
    <definedName name="solver_rhs105" localSheetId="3" hidden="1">0</definedName>
    <definedName name="solver_rhs105" localSheetId="1" hidden="1">0</definedName>
    <definedName name="solver_rhs106" localSheetId="4" hidden="1">'final c4'!$H$16:$H$19</definedName>
    <definedName name="solver_rhs106" localSheetId="3" hidden="1">0</definedName>
    <definedName name="solver_rhs106" localSheetId="1" hidden="1">0</definedName>
    <definedName name="solver_rhs107" localSheetId="4" hidden="1">'final c4'!$K$16:$K$19</definedName>
    <definedName name="solver_rhs107" localSheetId="3" hidden="1">0</definedName>
    <definedName name="solver_rhs107" localSheetId="1" hidden="1">0</definedName>
    <definedName name="solver_rhs108" localSheetId="4" hidden="1">'final c4'!$M$16:$M$19</definedName>
    <definedName name="solver_rhs108" localSheetId="3" hidden="1">0</definedName>
    <definedName name="solver_rhs108" localSheetId="1" hidden="1">0</definedName>
    <definedName name="solver_rhs109" localSheetId="4" hidden="1">'final c4'!$O$16:$O$19</definedName>
    <definedName name="solver_rhs109" localSheetId="3" hidden="1">0</definedName>
    <definedName name="solver_rhs109" localSheetId="1" hidden="1">0</definedName>
    <definedName name="solver_rhs11" localSheetId="0" hidden="1">0</definedName>
    <definedName name="solver_rhs11" localSheetId="5" hidden="1">0</definedName>
    <definedName name="solver_rhs11" localSheetId="4" hidden="1">0</definedName>
    <definedName name="solver_rhs11" localSheetId="3" hidden="1">0</definedName>
    <definedName name="solver_rhs11" localSheetId="1" hidden="1">0</definedName>
    <definedName name="solver_rhs110" localSheetId="3" hidden="1">0</definedName>
    <definedName name="solver_rhs110" localSheetId="1" hidden="1">0</definedName>
    <definedName name="solver_rhs111" localSheetId="3" hidden="1">0</definedName>
    <definedName name="solver_rhs111" localSheetId="1" hidden="1">0</definedName>
    <definedName name="solver_rhs112" localSheetId="3" hidden="1">0</definedName>
    <definedName name="solver_rhs112" localSheetId="1" hidden="1">0</definedName>
    <definedName name="solver_rhs113" localSheetId="3" hidden="1">0</definedName>
    <definedName name="solver_rhs113" localSheetId="1" hidden="1">0</definedName>
    <definedName name="solver_rhs114" localSheetId="3" hidden="1">0</definedName>
    <definedName name="solver_rhs114" localSheetId="1" hidden="1">0</definedName>
    <definedName name="solver_rhs115" localSheetId="3" hidden="1">0</definedName>
    <definedName name="solver_rhs115" localSheetId="1" hidden="1">0</definedName>
    <definedName name="solver_rhs116" localSheetId="3" hidden="1">0</definedName>
    <definedName name="solver_rhs116" localSheetId="1" hidden="1">0</definedName>
    <definedName name="solver_rhs117" localSheetId="3" hidden="1">0</definedName>
    <definedName name="solver_rhs117" localSheetId="1" hidden="1">0</definedName>
    <definedName name="solver_rhs118" localSheetId="3" hidden="1">0</definedName>
    <definedName name="solver_rhs118" localSheetId="1" hidden="1">0</definedName>
    <definedName name="solver_rhs119" localSheetId="3" hidden="1">0</definedName>
    <definedName name="solver_rhs119" localSheetId="1" hidden="1">0</definedName>
    <definedName name="solver_rhs12" localSheetId="0" hidden="1">0</definedName>
    <definedName name="solver_rhs12" localSheetId="5" hidden="1">0</definedName>
    <definedName name="solver_rhs12" localSheetId="4" hidden="1">0</definedName>
    <definedName name="solver_rhs12" localSheetId="3" hidden="1">0</definedName>
    <definedName name="solver_rhs12" localSheetId="1" hidden="1">0</definedName>
    <definedName name="solver_rhs120" localSheetId="3" hidden="1">0</definedName>
    <definedName name="solver_rhs120" localSheetId="1" hidden="1">0</definedName>
    <definedName name="solver_rhs121" localSheetId="3" hidden="1">0</definedName>
    <definedName name="solver_rhs121" localSheetId="1" hidden="1">0</definedName>
    <definedName name="solver_rhs122" localSheetId="3" hidden="1">0</definedName>
    <definedName name="solver_rhs122" localSheetId="1" hidden="1">0</definedName>
    <definedName name="solver_rhs123" localSheetId="3" hidden="1">0</definedName>
    <definedName name="solver_rhs123" localSheetId="1" hidden="1">0</definedName>
    <definedName name="solver_rhs124" localSheetId="3" hidden="1">0</definedName>
    <definedName name="solver_rhs124" localSheetId="1" hidden="1">0</definedName>
    <definedName name="solver_rhs125" localSheetId="3" hidden="1">0</definedName>
    <definedName name="solver_rhs125" localSheetId="1" hidden="1">0</definedName>
    <definedName name="solver_rhs126" localSheetId="3" hidden="1">0</definedName>
    <definedName name="solver_rhs126" localSheetId="1" hidden="1">0</definedName>
    <definedName name="solver_rhs127" localSheetId="3" hidden="1">0</definedName>
    <definedName name="solver_rhs127" localSheetId="1" hidden="1">0</definedName>
    <definedName name="solver_rhs128" localSheetId="3" hidden="1">0</definedName>
    <definedName name="solver_rhs128" localSheetId="1" hidden="1">0</definedName>
    <definedName name="solver_rhs129" localSheetId="3" hidden="1">0</definedName>
    <definedName name="solver_rhs129" localSheetId="1" hidden="1">0</definedName>
    <definedName name="solver_rhs13" localSheetId="0" hidden="1">0</definedName>
    <definedName name="solver_rhs13" localSheetId="5" hidden="1">0</definedName>
    <definedName name="solver_rhs13" localSheetId="4" hidden="1">0</definedName>
    <definedName name="solver_rhs13" localSheetId="3" hidden="1">0</definedName>
    <definedName name="solver_rhs13" localSheetId="1" hidden="1">0</definedName>
    <definedName name="solver_rhs130" localSheetId="3" hidden="1">0</definedName>
    <definedName name="solver_rhs130" localSheetId="1" hidden="1">0</definedName>
    <definedName name="solver_rhs131" localSheetId="3" hidden="1">0</definedName>
    <definedName name="solver_rhs131" localSheetId="1" hidden="1">0</definedName>
    <definedName name="solver_rhs132" localSheetId="3" hidden="1">0</definedName>
    <definedName name="solver_rhs132" localSheetId="1" hidden="1">0</definedName>
    <definedName name="solver_rhs133" localSheetId="3" hidden="1">0</definedName>
    <definedName name="solver_rhs133" localSheetId="1" hidden="1">0</definedName>
    <definedName name="solver_rhs134" localSheetId="3" hidden="1">0</definedName>
    <definedName name="solver_rhs134" localSheetId="1" hidden="1">0</definedName>
    <definedName name="solver_rhs135" localSheetId="3" hidden="1">0</definedName>
    <definedName name="solver_rhs135" localSheetId="1" hidden="1">0</definedName>
    <definedName name="solver_rhs136" localSheetId="3" hidden="1">1</definedName>
    <definedName name="solver_rhs136" localSheetId="1" hidden="1">0</definedName>
    <definedName name="solver_rhs137" localSheetId="3" hidden="1">1</definedName>
    <definedName name="solver_rhs137" localSheetId="1" hidden="1">0</definedName>
    <definedName name="solver_rhs138" localSheetId="3" hidden="1">1</definedName>
    <definedName name="solver_rhs138" localSheetId="1" hidden="1">0</definedName>
    <definedName name="solver_rhs139" localSheetId="3" hidden="1">1</definedName>
    <definedName name="solver_rhs139" localSheetId="1" hidden="1">0</definedName>
    <definedName name="solver_rhs14" localSheetId="0" hidden="1">0</definedName>
    <definedName name="solver_rhs14" localSheetId="5" hidden="1">0</definedName>
    <definedName name="solver_rhs14" localSheetId="4" hidden="1">0</definedName>
    <definedName name="solver_rhs14" localSheetId="3" hidden="1">0</definedName>
    <definedName name="solver_rhs14" localSheetId="1" hidden="1">0</definedName>
    <definedName name="solver_rhs140" localSheetId="3" hidden="1">1</definedName>
    <definedName name="solver_rhs140" localSheetId="1" hidden="1">0</definedName>
    <definedName name="solver_rhs141" localSheetId="3" hidden="1">1</definedName>
    <definedName name="solver_rhs141" localSheetId="1" hidden="1">0</definedName>
    <definedName name="solver_rhs142" localSheetId="3" hidden="1">1</definedName>
    <definedName name="solver_rhs142" localSheetId="1" hidden="1">0</definedName>
    <definedName name="solver_rhs143" localSheetId="3" hidden="1">1</definedName>
    <definedName name="solver_rhs143" localSheetId="1" hidden="1">0</definedName>
    <definedName name="solver_rhs144" localSheetId="3" hidden="1">'final c5 (2)'!$D$16:$D$20</definedName>
    <definedName name="solver_rhs144" localSheetId="1" hidden="1">0</definedName>
    <definedName name="solver_rhs145" localSheetId="3" hidden="1">'final c5 (2)'!$F$16:$F$20</definedName>
    <definedName name="solver_rhs145" localSheetId="1" hidden="1">0</definedName>
    <definedName name="solver_rhs146" localSheetId="3" hidden="1">'final c5 (2)'!$H$16:$H$20</definedName>
    <definedName name="solver_rhs146" localSheetId="1" hidden="1">0</definedName>
    <definedName name="solver_rhs147" localSheetId="3" hidden="1">'final c5 (2)'!$K$16:$K$20</definedName>
    <definedName name="solver_rhs147" localSheetId="1" hidden="1">0</definedName>
    <definedName name="solver_rhs148" localSheetId="3" hidden="1">'final c5 (2)'!$M$16:$M$20</definedName>
    <definedName name="solver_rhs148" localSheetId="1" hidden="1">0</definedName>
    <definedName name="solver_rhs149" localSheetId="3" hidden="1">'final c5 (2)'!$O$16:$O$20</definedName>
    <definedName name="solver_rhs149" localSheetId="1" hidden="1">0</definedName>
    <definedName name="solver_rhs15" localSheetId="0" hidden="1">0</definedName>
    <definedName name="solver_rhs15" localSheetId="5" hidden="1">0</definedName>
    <definedName name="solver_rhs15" localSheetId="4" hidden="1">0</definedName>
    <definedName name="solver_rhs15" localSheetId="3" hidden="1">0</definedName>
    <definedName name="solver_rhs15" localSheetId="1" hidden="1">0</definedName>
    <definedName name="solver_rhs150" localSheetId="1" hidden="1">0</definedName>
    <definedName name="solver_rhs151" localSheetId="1" hidden="1">0</definedName>
    <definedName name="solver_rhs152" localSheetId="1" hidden="1">0</definedName>
    <definedName name="solver_rhs153" localSheetId="1" hidden="1">0</definedName>
    <definedName name="solver_rhs154" localSheetId="1" hidden="1">0</definedName>
    <definedName name="solver_rhs155" localSheetId="1" hidden="1">0</definedName>
    <definedName name="solver_rhs156" localSheetId="1" hidden="1">0</definedName>
    <definedName name="solver_rhs157" localSheetId="1" hidden="1">0</definedName>
    <definedName name="solver_rhs158" localSheetId="1" hidden="1">0</definedName>
    <definedName name="solver_rhs159" localSheetId="1" hidden="1">0</definedName>
    <definedName name="solver_rhs16" localSheetId="0" hidden="1">0</definedName>
    <definedName name="solver_rhs16" localSheetId="5" hidden="1">0</definedName>
    <definedName name="solver_rhs16" localSheetId="4" hidden="1">0</definedName>
    <definedName name="solver_rhs16" localSheetId="3" hidden="1">0</definedName>
    <definedName name="solver_rhs16" localSheetId="1" hidden="1">0</definedName>
    <definedName name="solver_rhs160" localSheetId="1" hidden="1">0</definedName>
    <definedName name="solver_rhs161" localSheetId="1" hidden="1">0</definedName>
    <definedName name="solver_rhs162" localSheetId="1" hidden="1">0</definedName>
    <definedName name="solver_rhs163" localSheetId="1" hidden="1">0</definedName>
    <definedName name="solver_rhs164" localSheetId="1" hidden="1">0</definedName>
    <definedName name="solver_rhs165" localSheetId="1" hidden="1">0</definedName>
    <definedName name="solver_rhs166" localSheetId="1" hidden="1">0</definedName>
    <definedName name="solver_rhs167" localSheetId="1" hidden="1">0</definedName>
    <definedName name="solver_rhs168" localSheetId="1" hidden="1">0</definedName>
    <definedName name="solver_rhs169" localSheetId="1" hidden="1">0</definedName>
    <definedName name="solver_rhs17" localSheetId="0" hidden="1">0</definedName>
    <definedName name="solver_rhs17" localSheetId="5" hidden="1">0</definedName>
    <definedName name="solver_rhs17" localSheetId="4" hidden="1">0</definedName>
    <definedName name="solver_rhs17" localSheetId="3" hidden="1">0</definedName>
    <definedName name="solver_rhs17" localSheetId="1" hidden="1">0</definedName>
    <definedName name="solver_rhs170" localSheetId="1" hidden="1">0</definedName>
    <definedName name="solver_rhs171" localSheetId="1" hidden="1">0</definedName>
    <definedName name="solver_rhs172" localSheetId="1" hidden="1">0</definedName>
    <definedName name="solver_rhs173" localSheetId="1" hidden="1">0</definedName>
    <definedName name="solver_rhs174" localSheetId="1" hidden="1">0</definedName>
    <definedName name="solver_rhs175" localSheetId="1" hidden="1">0</definedName>
    <definedName name="solver_rhs176" localSheetId="1" hidden="1">0</definedName>
    <definedName name="solver_rhs177" localSheetId="1" hidden="1">0</definedName>
    <definedName name="solver_rhs178" localSheetId="1" hidden="1">0</definedName>
    <definedName name="solver_rhs179" localSheetId="1" hidden="1">0</definedName>
    <definedName name="solver_rhs18" localSheetId="0" hidden="1">0</definedName>
    <definedName name="solver_rhs18" localSheetId="5" hidden="1">0</definedName>
    <definedName name="solver_rhs18" localSheetId="4" hidden="1">0</definedName>
    <definedName name="solver_rhs18" localSheetId="3" hidden="1">0</definedName>
    <definedName name="solver_rhs18" localSheetId="1" hidden="1">0</definedName>
    <definedName name="solver_rhs180" localSheetId="1" hidden="1">0</definedName>
    <definedName name="solver_rhs181" localSheetId="1" hidden="1">0</definedName>
    <definedName name="solver_rhs182" localSheetId="1" hidden="1">0</definedName>
    <definedName name="solver_rhs183" localSheetId="1" hidden="1">0</definedName>
    <definedName name="solver_rhs184" localSheetId="1" hidden="1">0</definedName>
    <definedName name="solver_rhs185" localSheetId="1" hidden="1">0</definedName>
    <definedName name="solver_rhs186" localSheetId="1" hidden="1">0</definedName>
    <definedName name="solver_rhs187" localSheetId="1" hidden="1">0</definedName>
    <definedName name="solver_rhs188" localSheetId="1" hidden="1">0</definedName>
    <definedName name="solver_rhs189" localSheetId="1" hidden="1">0</definedName>
    <definedName name="solver_rhs19" localSheetId="0" hidden="1">0</definedName>
    <definedName name="solver_rhs19" localSheetId="5" hidden="1">0</definedName>
    <definedName name="solver_rhs19" localSheetId="4" hidden="1">0</definedName>
    <definedName name="solver_rhs19" localSheetId="3" hidden="1">0</definedName>
    <definedName name="solver_rhs19" localSheetId="1" hidden="1">0</definedName>
    <definedName name="solver_rhs190" localSheetId="1" hidden="1">0</definedName>
    <definedName name="solver_rhs191" localSheetId="1" hidden="1">0</definedName>
    <definedName name="solver_rhs192" localSheetId="1" hidden="1">0</definedName>
    <definedName name="solver_rhs193" localSheetId="1" hidden="1">0</definedName>
    <definedName name="solver_rhs194" localSheetId="1" hidden="1">0</definedName>
    <definedName name="solver_rhs195" localSheetId="1" hidden="1">0</definedName>
    <definedName name="solver_rhs196" localSheetId="1" hidden="1">1</definedName>
    <definedName name="solver_rhs197" localSheetId="1" hidden="1">1</definedName>
    <definedName name="solver_rhs198" localSheetId="1" hidden="1">1</definedName>
    <definedName name="solver_rhs199" localSheetId="1" hidden="1">1</definedName>
    <definedName name="solver_rhs2" localSheetId="0" hidden="1">binary</definedName>
    <definedName name="solver_rhs2" localSheetId="5" hidden="1">binary</definedName>
    <definedName name="solver_rhs2" localSheetId="4" hidden="1">binary</definedName>
    <definedName name="solver_rhs2" localSheetId="3" hidden="1">binary</definedName>
    <definedName name="solver_rhs2" localSheetId="1" hidden="1">binary</definedName>
    <definedName name="solver_rhs20" localSheetId="0" hidden="1">0</definedName>
    <definedName name="solver_rhs20" localSheetId="5" hidden="1">0</definedName>
    <definedName name="solver_rhs20" localSheetId="4" hidden="1">0</definedName>
    <definedName name="solver_rhs20" localSheetId="3" hidden="1">0</definedName>
    <definedName name="solver_rhs20" localSheetId="1" hidden="1">0</definedName>
    <definedName name="solver_rhs200" localSheetId="1" hidden="1">1</definedName>
    <definedName name="solver_rhs201" localSheetId="1" hidden="1">1</definedName>
    <definedName name="solver_rhs202" localSheetId="1" hidden="1">1</definedName>
    <definedName name="solver_rhs203" localSheetId="1" hidden="1">1</definedName>
    <definedName name="solver_rhs204" localSheetId="1" hidden="1">'final c6 (3)'!$D$16:$D$21</definedName>
    <definedName name="solver_rhs205" localSheetId="1" hidden="1">'final c6 (3)'!$F$16:$F$21</definedName>
    <definedName name="solver_rhs206" localSheetId="1" hidden="1">'final c6 (3)'!$H$16:$H$21</definedName>
    <definedName name="solver_rhs207" localSheetId="1" hidden="1">'final c6 (3)'!$K$16:$K$21</definedName>
    <definedName name="solver_rhs208" localSheetId="1" hidden="1">'final c6 (3)'!$M$16:$M$21</definedName>
    <definedName name="solver_rhs209" localSheetId="1" hidden="1">'final c6 (3)'!$O$16:$O$21</definedName>
    <definedName name="solver_rhs21" localSheetId="0" hidden="1">2.23</definedName>
    <definedName name="solver_rhs21" localSheetId="5" hidden="1">0</definedName>
    <definedName name="solver_rhs21" localSheetId="4" hidden="1">0</definedName>
    <definedName name="solver_rhs21" localSheetId="3" hidden="1">0</definedName>
    <definedName name="solver_rhs21" localSheetId="1" hidden="1">0</definedName>
    <definedName name="solver_rhs22" localSheetId="0" hidden="1">2.2</definedName>
    <definedName name="solver_rhs22" localSheetId="5" hidden="1">0</definedName>
    <definedName name="solver_rhs22" localSheetId="4" hidden="1">0</definedName>
    <definedName name="solver_rhs22" localSheetId="3" hidden="1">0</definedName>
    <definedName name="solver_rhs22" localSheetId="1" hidden="1">0</definedName>
    <definedName name="solver_rhs23" localSheetId="0" hidden="1">0</definedName>
    <definedName name="solver_rhs23" localSheetId="5" hidden="1">0</definedName>
    <definedName name="solver_rhs23" localSheetId="4" hidden="1">0</definedName>
    <definedName name="solver_rhs23" localSheetId="3" hidden="1">0</definedName>
    <definedName name="solver_rhs23" localSheetId="1" hidden="1">0</definedName>
    <definedName name="solver_rhs24" localSheetId="0" hidden="1">0</definedName>
    <definedName name="solver_rhs24" localSheetId="5" hidden="1">0</definedName>
    <definedName name="solver_rhs24" localSheetId="4" hidden="1">0</definedName>
    <definedName name="solver_rhs24" localSheetId="3" hidden="1">0</definedName>
    <definedName name="solver_rhs24" localSheetId="1" hidden="1">0</definedName>
    <definedName name="solver_rhs25" localSheetId="0" hidden="1">0</definedName>
    <definedName name="solver_rhs25" localSheetId="5" hidden="1">0</definedName>
    <definedName name="solver_rhs25" localSheetId="4" hidden="1">0</definedName>
    <definedName name="solver_rhs25" localSheetId="3" hidden="1">0</definedName>
    <definedName name="solver_rhs25" localSheetId="1" hidden="1">0</definedName>
    <definedName name="solver_rhs26" localSheetId="0" hidden="1">1</definedName>
    <definedName name="solver_rhs26" localSheetId="5" hidden="1">0</definedName>
    <definedName name="solver_rhs26" localSheetId="4" hidden="1">0</definedName>
    <definedName name="solver_rhs26" localSheetId="3" hidden="1">0</definedName>
    <definedName name="solver_rhs26" localSheetId="1" hidden="1">0</definedName>
    <definedName name="solver_rhs27" localSheetId="0" hidden="1">1</definedName>
    <definedName name="solver_rhs27" localSheetId="5" hidden="1">0</definedName>
    <definedName name="solver_rhs27" localSheetId="4" hidden="1">0</definedName>
    <definedName name="solver_rhs27" localSheetId="3" hidden="1">0</definedName>
    <definedName name="solver_rhs27" localSheetId="1" hidden="1">0</definedName>
    <definedName name="solver_rhs28" localSheetId="0" hidden="1">1</definedName>
    <definedName name="solver_rhs28" localSheetId="5" hidden="1">0</definedName>
    <definedName name="solver_rhs28" localSheetId="4" hidden="1">0</definedName>
    <definedName name="solver_rhs28" localSheetId="3" hidden="1">0</definedName>
    <definedName name="solver_rhs28" localSheetId="1" hidden="1">0</definedName>
    <definedName name="solver_rhs29" localSheetId="0" hidden="1">1</definedName>
    <definedName name="solver_rhs29" localSheetId="5" hidden="1">0</definedName>
    <definedName name="solver_rhs29" localSheetId="4" hidden="1">0</definedName>
    <definedName name="solver_rhs29" localSheetId="3" hidden="1">0</definedName>
    <definedName name="solver_rhs29" localSheetId="1" hidden="1">0</definedName>
    <definedName name="solver_rhs3" localSheetId="0" hidden="1">binary</definedName>
    <definedName name="solver_rhs3" localSheetId="5" hidden="1">binary</definedName>
    <definedName name="solver_rhs3" localSheetId="4" hidden="1">binary</definedName>
    <definedName name="solver_rhs3" localSheetId="3" hidden="1">binary</definedName>
    <definedName name="solver_rhs3" localSheetId="1" hidden="1">binary</definedName>
    <definedName name="solver_rhs30" localSheetId="0" hidden="1">1</definedName>
    <definedName name="solver_rhs30" localSheetId="5" hidden="1">0</definedName>
    <definedName name="solver_rhs30" localSheetId="4" hidden="1">0</definedName>
    <definedName name="solver_rhs30" localSheetId="3" hidden="1">0</definedName>
    <definedName name="solver_rhs30" localSheetId="1" hidden="1">0</definedName>
    <definedName name="solver_rhs31" localSheetId="0" hidden="1">1</definedName>
    <definedName name="solver_rhs31" localSheetId="5" hidden="1">0</definedName>
    <definedName name="solver_rhs31" localSheetId="4" hidden="1">0</definedName>
    <definedName name="solver_rhs31" localSheetId="3" hidden="1">0</definedName>
    <definedName name="solver_rhs31" localSheetId="1" hidden="1">0</definedName>
    <definedName name="solver_rhs32" localSheetId="0" hidden="1">1</definedName>
    <definedName name="solver_rhs32" localSheetId="5" hidden="1">0</definedName>
    <definedName name="solver_rhs32" localSheetId="4" hidden="1">0</definedName>
    <definedName name="solver_rhs32" localSheetId="3" hidden="1">0</definedName>
    <definedName name="solver_rhs32" localSheetId="1" hidden="1">0</definedName>
    <definedName name="solver_rhs33" localSheetId="0" hidden="1">1</definedName>
    <definedName name="solver_rhs33" localSheetId="5" hidden="1">0</definedName>
    <definedName name="solver_rhs33" localSheetId="4" hidden="1">0</definedName>
    <definedName name="solver_rhs33" localSheetId="3" hidden="1">0</definedName>
    <definedName name="solver_rhs33" localSheetId="1" hidden="1">0</definedName>
    <definedName name="solver_rhs34" localSheetId="0" hidden="1">1</definedName>
    <definedName name="solver_rhs34" localSheetId="5" hidden="1">0</definedName>
    <definedName name="solver_rhs34" localSheetId="4" hidden="1">0</definedName>
    <definedName name="solver_rhs34" localSheetId="3" hidden="1">0</definedName>
    <definedName name="solver_rhs34" localSheetId="1" hidden="1">0</definedName>
    <definedName name="solver_rhs35" localSheetId="0" hidden="1">'final c2 (2)'!$D$16:$D$17</definedName>
    <definedName name="solver_rhs35" localSheetId="5" hidden="1">0</definedName>
    <definedName name="solver_rhs35" localSheetId="4" hidden="1">0</definedName>
    <definedName name="solver_rhs35" localSheetId="3" hidden="1">0</definedName>
    <definedName name="solver_rhs35" localSheetId="1" hidden="1">0</definedName>
    <definedName name="solver_rhs36" localSheetId="0" hidden="1">'final c2 (2)'!$F$16:$F$17</definedName>
    <definedName name="solver_rhs36" localSheetId="5" hidden="1">0</definedName>
    <definedName name="solver_rhs36" localSheetId="4" hidden="1">0</definedName>
    <definedName name="solver_rhs36" localSheetId="3" hidden="1">0</definedName>
    <definedName name="solver_rhs36" localSheetId="1" hidden="1">0</definedName>
    <definedName name="solver_rhs37" localSheetId="0" hidden="1">'final c2 (2)'!$H$16:$H$17</definedName>
    <definedName name="solver_rhs37" localSheetId="5" hidden="1">0</definedName>
    <definedName name="solver_rhs37" localSheetId="4" hidden="1">0</definedName>
    <definedName name="solver_rhs37" localSheetId="3" hidden="1">0</definedName>
    <definedName name="solver_rhs37" localSheetId="1" hidden="1">0</definedName>
    <definedName name="solver_rhs38" localSheetId="0" hidden="1">'final c2 (2)'!$K$16:$K$17</definedName>
    <definedName name="solver_rhs38" localSheetId="5" hidden="1">0</definedName>
    <definedName name="solver_rhs38" localSheetId="4" hidden="1">0</definedName>
    <definedName name="solver_rhs38" localSheetId="3" hidden="1">0</definedName>
    <definedName name="solver_rhs38" localSheetId="1" hidden="1">0</definedName>
    <definedName name="solver_rhs39" localSheetId="0" hidden="1">'final c2 (2)'!$M$16:$M$17</definedName>
    <definedName name="solver_rhs39" localSheetId="5" hidden="1">0</definedName>
    <definedName name="solver_rhs39" localSheetId="4" hidden="1">0</definedName>
    <definedName name="solver_rhs39" localSheetId="3" hidden="1">0</definedName>
    <definedName name="solver_rhs39" localSheetId="1" hidden="1">0</definedName>
    <definedName name="solver_rhs4" localSheetId="0" hidden="1">binary</definedName>
    <definedName name="solver_rhs4" localSheetId="5" hidden="1">binary</definedName>
    <definedName name="solver_rhs4" localSheetId="4" hidden="1">binary</definedName>
    <definedName name="solver_rhs4" localSheetId="3" hidden="1">binary</definedName>
    <definedName name="solver_rhs4" localSheetId="1" hidden="1">binary</definedName>
    <definedName name="solver_rhs40" localSheetId="0" hidden="1">'final c2 (2)'!$O$16:$O$17</definedName>
    <definedName name="solver_rhs40" localSheetId="5" hidden="1">0</definedName>
    <definedName name="solver_rhs40" localSheetId="4" hidden="1">0</definedName>
    <definedName name="solver_rhs40" localSheetId="3" hidden="1">0</definedName>
    <definedName name="solver_rhs40" localSheetId="1" hidden="1">0</definedName>
    <definedName name="solver_rhs41" localSheetId="0" hidden="1">0</definedName>
    <definedName name="solver_rhs41" localSheetId="5" hidden="1">0</definedName>
    <definedName name="solver_rhs41" localSheetId="4" hidden="1">0</definedName>
    <definedName name="solver_rhs41" localSheetId="3" hidden="1">0</definedName>
    <definedName name="solver_rhs41" localSheetId="1" hidden="1">0</definedName>
    <definedName name="solver_rhs42" localSheetId="0" hidden="1">0</definedName>
    <definedName name="solver_rhs42" localSheetId="5" hidden="1">0</definedName>
    <definedName name="solver_rhs42" localSheetId="4" hidden="1">0</definedName>
    <definedName name="solver_rhs42" localSheetId="3" hidden="1">0</definedName>
    <definedName name="solver_rhs42" localSheetId="1" hidden="1">0</definedName>
    <definedName name="solver_rhs43" localSheetId="0" hidden="1">0</definedName>
    <definedName name="solver_rhs43" localSheetId="5" hidden="1">0</definedName>
    <definedName name="solver_rhs43" localSheetId="4" hidden="1">0</definedName>
    <definedName name="solver_rhs43" localSheetId="3" hidden="1">0</definedName>
    <definedName name="solver_rhs43" localSheetId="1" hidden="1">0</definedName>
    <definedName name="solver_rhs44" localSheetId="0" hidden="1">0</definedName>
    <definedName name="solver_rhs44" localSheetId="5" hidden="1">0</definedName>
    <definedName name="solver_rhs44" localSheetId="4" hidden="1">0</definedName>
    <definedName name="solver_rhs44" localSheetId="3" hidden="1">0</definedName>
    <definedName name="solver_rhs44" localSheetId="1" hidden="1">0</definedName>
    <definedName name="solver_rhs45" localSheetId="0" hidden="1">2.2</definedName>
    <definedName name="solver_rhs45" localSheetId="5" hidden="1">2.23</definedName>
    <definedName name="solver_rhs45" localSheetId="4" hidden="1">2.23</definedName>
    <definedName name="solver_rhs45" localSheetId="3" hidden="1">2.23</definedName>
    <definedName name="solver_rhs45" localSheetId="1" hidden="1">2.23</definedName>
    <definedName name="solver_rhs46" localSheetId="0" hidden="1">2.25</definedName>
    <definedName name="solver_rhs46" localSheetId="5" hidden="1">2.2</definedName>
    <definedName name="solver_rhs46" localSheetId="4" hidden="1">2.2</definedName>
    <definedName name="solver_rhs46" localSheetId="3" hidden="1">2.2</definedName>
    <definedName name="solver_rhs46" localSheetId="1" hidden="1">2.2</definedName>
    <definedName name="solver_rhs47" localSheetId="0" hidden="1">0</definedName>
    <definedName name="solver_rhs47" localSheetId="5" hidden="1">0</definedName>
    <definedName name="solver_rhs47" localSheetId="4" hidden="1">0</definedName>
    <definedName name="solver_rhs47" localSheetId="3" hidden="1">0</definedName>
    <definedName name="solver_rhs47" localSheetId="1" hidden="1">0</definedName>
    <definedName name="solver_rhs48" localSheetId="0" hidden="1">0</definedName>
    <definedName name="solver_rhs48" localSheetId="5" hidden="1">0</definedName>
    <definedName name="solver_rhs48" localSheetId="4" hidden="1">0</definedName>
    <definedName name="solver_rhs48" localSheetId="3" hidden="1">0</definedName>
    <definedName name="solver_rhs48" localSheetId="1" hidden="1">0</definedName>
    <definedName name="solver_rhs49" localSheetId="0" hidden="1">0</definedName>
    <definedName name="solver_rhs49" localSheetId="5" hidden="1">0</definedName>
    <definedName name="solver_rhs49" localSheetId="4" hidden="1">0</definedName>
    <definedName name="solver_rhs49" localSheetId="3" hidden="1">0</definedName>
    <definedName name="solver_rhs49" localSheetId="1" hidden="1">0</definedName>
    <definedName name="solver_rhs5" localSheetId="0" hidden="1">binary</definedName>
    <definedName name="solver_rhs5" localSheetId="5" hidden="1">binary</definedName>
    <definedName name="solver_rhs5" localSheetId="4" hidden="1">binary</definedName>
    <definedName name="solver_rhs5" localSheetId="3" hidden="1">binary</definedName>
    <definedName name="solver_rhs5" localSheetId="1" hidden="1">binary</definedName>
    <definedName name="solver_rhs50" localSheetId="0" hidden="1">2</definedName>
    <definedName name="solver_rhs50" localSheetId="5" hidden="1">3</definedName>
    <definedName name="solver_rhs50" localSheetId="4" hidden="1">0</definedName>
    <definedName name="solver_rhs50" localSheetId="3" hidden="1">0</definedName>
    <definedName name="solver_rhs50" localSheetId="1" hidden="1">0</definedName>
    <definedName name="solver_rhs51" localSheetId="0" hidden="1">2</definedName>
    <definedName name="solver_rhs51" localSheetId="5" hidden="1">3</definedName>
    <definedName name="solver_rhs51" localSheetId="4" hidden="1">0</definedName>
    <definedName name="solver_rhs51" localSheetId="3" hidden="1">0</definedName>
    <definedName name="solver_rhs51" localSheetId="1" hidden="1">0</definedName>
    <definedName name="solver_rhs52" localSheetId="0" hidden="1">2</definedName>
    <definedName name="solver_rhs52" localSheetId="5" hidden="1">3</definedName>
    <definedName name="solver_rhs52" localSheetId="4" hidden="1">0</definedName>
    <definedName name="solver_rhs52" localSheetId="3" hidden="1">0</definedName>
    <definedName name="solver_rhs52" localSheetId="1" hidden="1">0</definedName>
    <definedName name="solver_rhs53" localSheetId="0" hidden="1">2</definedName>
    <definedName name="solver_rhs53" localSheetId="5" hidden="1">3</definedName>
    <definedName name="solver_rhs53" localSheetId="4" hidden="1">0</definedName>
    <definedName name="solver_rhs53" localSheetId="3" hidden="1">0</definedName>
    <definedName name="solver_rhs53" localSheetId="1" hidden="1">0</definedName>
    <definedName name="solver_rhs54" localSheetId="0" hidden="1">2</definedName>
    <definedName name="solver_rhs54" localSheetId="5" hidden="1">3</definedName>
    <definedName name="solver_rhs54" localSheetId="4" hidden="1">0</definedName>
    <definedName name="solver_rhs54" localSheetId="3" hidden="1">0</definedName>
    <definedName name="solver_rhs54" localSheetId="1" hidden="1">0</definedName>
    <definedName name="solver_rhs55" localSheetId="0" hidden="1">2</definedName>
    <definedName name="solver_rhs55" localSheetId="5" hidden="1">3</definedName>
    <definedName name="solver_rhs55" localSheetId="4" hidden="1">0</definedName>
    <definedName name="solver_rhs55" localSheetId="3" hidden="1">0</definedName>
    <definedName name="solver_rhs55" localSheetId="1" hidden="1">0</definedName>
    <definedName name="solver_rhs56" localSheetId="0" hidden="1">0</definedName>
    <definedName name="solver_rhs56" localSheetId="5" hidden="1">3</definedName>
    <definedName name="solver_rhs56" localSheetId="4" hidden="1">0</definedName>
    <definedName name="solver_rhs56" localSheetId="3" hidden="1">0</definedName>
    <definedName name="solver_rhs56" localSheetId="1" hidden="1">0</definedName>
    <definedName name="solver_rhs57" localSheetId="0" hidden="1">0</definedName>
    <definedName name="solver_rhs57" localSheetId="5" hidden="1">3</definedName>
    <definedName name="solver_rhs57" localSheetId="4" hidden="1">0</definedName>
    <definedName name="solver_rhs57" localSheetId="3" hidden="1">0</definedName>
    <definedName name="solver_rhs57" localSheetId="1" hidden="1">0</definedName>
    <definedName name="solver_rhs58" localSheetId="0" hidden="1">1</definedName>
    <definedName name="solver_rhs58" localSheetId="5" hidden="1">'final c3'!$D$16:$D$18</definedName>
    <definedName name="solver_rhs58" localSheetId="4" hidden="1">0</definedName>
    <definedName name="solver_rhs58" localSheetId="3" hidden="1">0</definedName>
    <definedName name="solver_rhs58" localSheetId="1" hidden="1">0</definedName>
    <definedName name="solver_rhs59" localSheetId="0" hidden="1">1</definedName>
    <definedName name="solver_rhs59" localSheetId="5" hidden="1">'final c3'!$F$16:$F$18</definedName>
    <definedName name="solver_rhs59" localSheetId="4" hidden="1">0</definedName>
    <definedName name="solver_rhs59" localSheetId="3" hidden="1">0</definedName>
    <definedName name="solver_rhs59" localSheetId="1" hidden="1">0</definedName>
    <definedName name="solver_rhs6" localSheetId="0" hidden="1">binary</definedName>
    <definedName name="solver_rhs6" localSheetId="5" hidden="1">binary</definedName>
    <definedName name="solver_rhs6" localSheetId="4" hidden="1">binary</definedName>
    <definedName name="solver_rhs6" localSheetId="3" hidden="1">binary</definedName>
    <definedName name="solver_rhs6" localSheetId="1" hidden="1">binary</definedName>
    <definedName name="solver_rhs60" localSheetId="0" hidden="1">1</definedName>
    <definedName name="solver_rhs60" localSheetId="5" hidden="1">'final c3'!$H$16:$H$18</definedName>
    <definedName name="solver_rhs60" localSheetId="4" hidden="1">0</definedName>
    <definedName name="solver_rhs60" localSheetId="3" hidden="1">0</definedName>
    <definedName name="solver_rhs60" localSheetId="1" hidden="1">0</definedName>
    <definedName name="solver_rhs61" localSheetId="0" hidden="1">1</definedName>
    <definedName name="solver_rhs61" localSheetId="5" hidden="1">'final c3'!$K$16:$K$18</definedName>
    <definedName name="solver_rhs61" localSheetId="4" hidden="1">0</definedName>
    <definedName name="solver_rhs61" localSheetId="3" hidden="1">0</definedName>
    <definedName name="solver_rhs61" localSheetId="1" hidden="1">0</definedName>
    <definedName name="solver_rhs62" localSheetId="0" hidden="1">1</definedName>
    <definedName name="solver_rhs62" localSheetId="5" hidden="1">'final c3'!$M$16:$M$18</definedName>
    <definedName name="solver_rhs62" localSheetId="4" hidden="1">0</definedName>
    <definedName name="solver_rhs62" localSheetId="3" hidden="1">0</definedName>
    <definedName name="solver_rhs62" localSheetId="1" hidden="1">0</definedName>
    <definedName name="solver_rhs63" localSheetId="0" hidden="1">1</definedName>
    <definedName name="solver_rhs63" localSheetId="5" hidden="1">'final c3'!$O$16:$O$18</definedName>
    <definedName name="solver_rhs63" localSheetId="4" hidden="1">0</definedName>
    <definedName name="solver_rhs63" localSheetId="3" hidden="1">0</definedName>
    <definedName name="solver_rhs63" localSheetId="1" hidden="1">0</definedName>
    <definedName name="solver_rhs64" localSheetId="4" hidden="1">0</definedName>
    <definedName name="solver_rhs64" localSheetId="3" hidden="1">0</definedName>
    <definedName name="solver_rhs64" localSheetId="1" hidden="1">0</definedName>
    <definedName name="solver_rhs65" localSheetId="4" hidden="1">0</definedName>
    <definedName name="solver_rhs65" localSheetId="3" hidden="1">0</definedName>
    <definedName name="solver_rhs65" localSheetId="1" hidden="1">0</definedName>
    <definedName name="solver_rhs66" localSheetId="4" hidden="1">0</definedName>
    <definedName name="solver_rhs66" localSheetId="3" hidden="1">0</definedName>
    <definedName name="solver_rhs66" localSheetId="1" hidden="1">0</definedName>
    <definedName name="solver_rhs67" localSheetId="4" hidden="1">0</definedName>
    <definedName name="solver_rhs67" localSheetId="3" hidden="1">0</definedName>
    <definedName name="solver_rhs67" localSheetId="1" hidden="1">0</definedName>
    <definedName name="solver_rhs68" localSheetId="4" hidden="1">0</definedName>
    <definedName name="solver_rhs68" localSheetId="3" hidden="1">0</definedName>
    <definedName name="solver_rhs68" localSheetId="1" hidden="1">0</definedName>
    <definedName name="solver_rhs69" localSheetId="4" hidden="1">0</definedName>
    <definedName name="solver_rhs69" localSheetId="3" hidden="1">0</definedName>
    <definedName name="solver_rhs69" localSheetId="1" hidden="1">0</definedName>
    <definedName name="solver_rhs7" localSheetId="0" hidden="1">binary</definedName>
    <definedName name="solver_rhs7" localSheetId="5" hidden="1">binary</definedName>
    <definedName name="solver_rhs7" localSheetId="4" hidden="1">binary</definedName>
    <definedName name="solver_rhs7" localSheetId="3" hidden="1">binary</definedName>
    <definedName name="solver_rhs7" localSheetId="1" hidden="1">binary</definedName>
    <definedName name="solver_rhs70" localSheetId="4" hidden="1">0</definedName>
    <definedName name="solver_rhs70" localSheetId="3" hidden="1">0</definedName>
    <definedName name="solver_rhs70" localSheetId="1" hidden="1">0</definedName>
    <definedName name="solver_rhs71" localSheetId="4" hidden="1">0</definedName>
    <definedName name="solver_rhs71" localSheetId="3" hidden="1">0</definedName>
    <definedName name="solver_rhs71" localSheetId="1" hidden="1">0</definedName>
    <definedName name="solver_rhs72" localSheetId="4" hidden="1">0</definedName>
    <definedName name="solver_rhs72" localSheetId="3" hidden="1">0</definedName>
    <definedName name="solver_rhs72" localSheetId="1" hidden="1">0</definedName>
    <definedName name="solver_rhs73" localSheetId="4" hidden="1">0</definedName>
    <definedName name="solver_rhs73" localSheetId="3" hidden="1">0</definedName>
    <definedName name="solver_rhs73" localSheetId="1" hidden="1">0</definedName>
    <definedName name="solver_rhs74" localSheetId="4" hidden="1">0</definedName>
    <definedName name="solver_rhs74" localSheetId="3" hidden="1">0</definedName>
    <definedName name="solver_rhs74" localSheetId="1" hidden="1">0</definedName>
    <definedName name="solver_rhs75" localSheetId="4" hidden="1">0</definedName>
    <definedName name="solver_rhs75" localSheetId="3" hidden="1">0</definedName>
    <definedName name="solver_rhs75" localSheetId="1" hidden="1">0</definedName>
    <definedName name="solver_rhs76" localSheetId="4" hidden="1">0</definedName>
    <definedName name="solver_rhs76" localSheetId="3" hidden="1">0</definedName>
    <definedName name="solver_rhs76" localSheetId="1" hidden="1">0</definedName>
    <definedName name="solver_rhs77" localSheetId="4" hidden="1">0</definedName>
    <definedName name="solver_rhs77" localSheetId="3" hidden="1">0</definedName>
    <definedName name="solver_rhs77" localSheetId="1" hidden="1">0</definedName>
    <definedName name="solver_rhs78" localSheetId="4" hidden="1">0</definedName>
    <definedName name="solver_rhs78" localSheetId="3" hidden="1">0</definedName>
    <definedName name="solver_rhs78" localSheetId="1" hidden="1">0</definedName>
    <definedName name="solver_rhs79" localSheetId="4" hidden="1">0</definedName>
    <definedName name="solver_rhs79" localSheetId="3" hidden="1">0</definedName>
    <definedName name="solver_rhs79" localSheetId="1" hidden="1">0</definedName>
    <definedName name="solver_rhs8" localSheetId="0" hidden="1">binary</definedName>
    <definedName name="solver_rhs8" localSheetId="5" hidden="1">binary</definedName>
    <definedName name="solver_rhs8" localSheetId="4" hidden="1">binary</definedName>
    <definedName name="solver_rhs8" localSheetId="3" hidden="1">binary</definedName>
    <definedName name="solver_rhs8" localSheetId="1" hidden="1">binary</definedName>
    <definedName name="solver_rhs80" localSheetId="4" hidden="1">0</definedName>
    <definedName name="solver_rhs80" localSheetId="3" hidden="1">0</definedName>
    <definedName name="solver_rhs80" localSheetId="1" hidden="1">0</definedName>
    <definedName name="solver_rhs81" localSheetId="4" hidden="1">0</definedName>
    <definedName name="solver_rhs81" localSheetId="3" hidden="1">0</definedName>
    <definedName name="solver_rhs81" localSheetId="1" hidden="1">0</definedName>
    <definedName name="solver_rhs82" localSheetId="4" hidden="1">0</definedName>
    <definedName name="solver_rhs82" localSheetId="3" hidden="1">0</definedName>
    <definedName name="solver_rhs82" localSheetId="1" hidden="1">0</definedName>
    <definedName name="solver_rhs83" localSheetId="4" hidden="1">0</definedName>
    <definedName name="solver_rhs83" localSheetId="3" hidden="1">0</definedName>
    <definedName name="solver_rhs83" localSheetId="1" hidden="1">0</definedName>
    <definedName name="solver_rhs84" localSheetId="4" hidden="1">0</definedName>
    <definedName name="solver_rhs84" localSheetId="3" hidden="1">0</definedName>
    <definedName name="solver_rhs84" localSheetId="1" hidden="1">0</definedName>
    <definedName name="solver_rhs85" localSheetId="4" hidden="1">0</definedName>
    <definedName name="solver_rhs85" localSheetId="3" hidden="1">0</definedName>
    <definedName name="solver_rhs85" localSheetId="1" hidden="1">0</definedName>
    <definedName name="solver_rhs86" localSheetId="4" hidden="1">0</definedName>
    <definedName name="solver_rhs86" localSheetId="3" hidden="1">0</definedName>
    <definedName name="solver_rhs86" localSheetId="1" hidden="1">0</definedName>
    <definedName name="solver_rhs87" localSheetId="4" hidden="1">0</definedName>
    <definedName name="solver_rhs87" localSheetId="3" hidden="1">0</definedName>
    <definedName name="solver_rhs87" localSheetId="1" hidden="1">0</definedName>
    <definedName name="solver_rhs88" localSheetId="4" hidden="1">6</definedName>
    <definedName name="solver_rhs88" localSheetId="3" hidden="1">0</definedName>
    <definedName name="solver_rhs88" localSheetId="1" hidden="1">0</definedName>
    <definedName name="solver_rhs89" localSheetId="4" hidden="1">6</definedName>
    <definedName name="solver_rhs89" localSheetId="3" hidden="1">0</definedName>
    <definedName name="solver_rhs89" localSheetId="1" hidden="1">0</definedName>
    <definedName name="solver_rhs9" localSheetId="0" hidden="1">0</definedName>
    <definedName name="solver_rhs9" localSheetId="5" hidden="1">0</definedName>
    <definedName name="solver_rhs9" localSheetId="4" hidden="1">0</definedName>
    <definedName name="solver_rhs9" localSheetId="3" hidden="1">0</definedName>
    <definedName name="solver_rhs9" localSheetId="1" hidden="1">0</definedName>
    <definedName name="solver_rhs90" localSheetId="4" hidden="1">6</definedName>
    <definedName name="solver_rhs90" localSheetId="3" hidden="1">0</definedName>
    <definedName name="solver_rhs90" localSheetId="1" hidden="1">0</definedName>
    <definedName name="solver_rhs91" localSheetId="4" hidden="1">6</definedName>
    <definedName name="solver_rhs91" localSheetId="3" hidden="1">0</definedName>
    <definedName name="solver_rhs91" localSheetId="1" hidden="1">0</definedName>
    <definedName name="solver_rhs92" localSheetId="4" hidden="1">6</definedName>
    <definedName name="solver_rhs92" localSheetId="3" hidden="1">0</definedName>
    <definedName name="solver_rhs92" localSheetId="1" hidden="1">0</definedName>
    <definedName name="solver_rhs93" localSheetId="4" hidden="1">6</definedName>
    <definedName name="solver_rhs93" localSheetId="3" hidden="1">0</definedName>
    <definedName name="solver_rhs93" localSheetId="1" hidden="1">0</definedName>
    <definedName name="solver_rhs94" localSheetId="4" hidden="1">6</definedName>
    <definedName name="solver_rhs94" localSheetId="3" hidden="1">0</definedName>
    <definedName name="solver_rhs94" localSheetId="1" hidden="1">0</definedName>
    <definedName name="solver_rhs95" localSheetId="4" hidden="1">6</definedName>
    <definedName name="solver_rhs95" localSheetId="3" hidden="1">0</definedName>
    <definedName name="solver_rhs95" localSheetId="1" hidden="1">0</definedName>
    <definedName name="solver_rhs96" localSheetId="4" hidden="1">1</definedName>
    <definedName name="solver_rhs96" localSheetId="3" hidden="1">0</definedName>
    <definedName name="solver_rhs96" localSheetId="1" hidden="1">0</definedName>
    <definedName name="solver_rhs97" localSheetId="4" hidden="1">1</definedName>
    <definedName name="solver_rhs97" localSheetId="3" hidden="1">0</definedName>
    <definedName name="solver_rhs97" localSheetId="1" hidden="1">0</definedName>
    <definedName name="solver_rhs98" localSheetId="4" hidden="1">1</definedName>
    <definedName name="solver_rhs98" localSheetId="3" hidden="1">0</definedName>
    <definedName name="solver_rhs98" localSheetId="1" hidden="1">0</definedName>
    <definedName name="solver_rhs99" localSheetId="4" hidden="1">1</definedName>
    <definedName name="solver_rhs99" localSheetId="3" hidden="1">0</definedName>
    <definedName name="solver_rhs99" localSheetId="1" hidden="1">0</definedName>
    <definedName name="solver_rlx" localSheetId="0" hidden="1">2</definedName>
    <definedName name="solver_rlx" localSheetId="5" hidden="1">2</definedName>
    <definedName name="solver_rlx" localSheetId="4" hidden="1">2</definedName>
    <definedName name="solver_rlx" localSheetId="3" hidden="1">2</definedName>
    <definedName name="solver_rlx" localSheetId="1" hidden="1">2</definedName>
    <definedName name="solver_scl" localSheetId="0" hidden="1">2</definedName>
    <definedName name="solver_scl" localSheetId="5" hidden="1">2</definedName>
    <definedName name="solver_scl" localSheetId="4" hidden="1">2</definedName>
    <definedName name="solver_scl" localSheetId="3" hidden="1">2</definedName>
    <definedName name="solver_scl" localSheetId="1" hidden="1">2</definedName>
    <definedName name="solver_sho" localSheetId="0" hidden="1">0</definedName>
    <definedName name="solver_sho" localSheetId="5" hidden="1">0</definedName>
    <definedName name="solver_sho" localSheetId="4" hidden="1">1</definedName>
    <definedName name="solver_sho" localSheetId="3" hidden="1">1</definedName>
    <definedName name="solver_sho" localSheetId="1" hidden="1">1</definedName>
    <definedName name="solver_tim" localSheetId="0" hidden="1">2147483647</definedName>
    <definedName name="solver_tim" localSheetId="5" hidden="1">2147483647</definedName>
    <definedName name="solver_tim" localSheetId="4" hidden="1">2147483647</definedName>
    <definedName name="solver_tim" localSheetId="3" hidden="1">2147483647</definedName>
    <definedName name="solver_tim" localSheetId="1" hidden="1">2147483647</definedName>
    <definedName name="solver_tol" localSheetId="0" hidden="1">0.05</definedName>
    <definedName name="solver_tol" localSheetId="5" hidden="1">0.35</definedName>
    <definedName name="solver_tol" localSheetId="4" hidden="1">0.28</definedName>
    <definedName name="solver_tol" localSheetId="3" hidden="1">0.35</definedName>
    <definedName name="solver_tol" localSheetId="1" hidden="1">0.4</definedName>
    <definedName name="solver_typ" localSheetId="0" hidden="1">2</definedName>
    <definedName name="solver_typ" localSheetId="5" hidden="1">2</definedName>
    <definedName name="solver_typ" localSheetId="4" hidden="1">2</definedName>
    <definedName name="solver_typ" localSheetId="3" hidden="1">2</definedName>
    <definedName name="solver_typ" localSheetId="1" hidden="1">2</definedName>
    <definedName name="solver_val" localSheetId="0" hidden="1">0</definedName>
    <definedName name="solver_val" localSheetId="5" hidden="1">0</definedName>
    <definedName name="solver_val" localSheetId="4" hidden="1">0</definedName>
    <definedName name="solver_val" localSheetId="3" hidden="1">0</definedName>
    <definedName name="solver_val" localSheetId="1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3" l="1"/>
  <c r="E33" i="43"/>
  <c r="E34" i="43"/>
  <c r="E35" i="43"/>
  <c r="E36" i="43"/>
  <c r="E31" i="43"/>
  <c r="D32" i="43"/>
  <c r="D33" i="43"/>
  <c r="D34" i="43"/>
  <c r="D35" i="43"/>
  <c r="D36" i="43"/>
  <c r="D31" i="43"/>
  <c r="C32" i="43"/>
  <c r="C33" i="43"/>
  <c r="C34" i="43"/>
  <c r="C35" i="43"/>
  <c r="C36" i="43"/>
  <c r="C31" i="43"/>
  <c r="B32" i="43"/>
  <c r="B33" i="43"/>
  <c r="B34" i="43"/>
  <c r="B35" i="43"/>
  <c r="B36" i="43"/>
  <c r="B31" i="43"/>
  <c r="I23" i="43"/>
  <c r="I24" i="43"/>
  <c r="I25" i="43"/>
  <c r="I26" i="43"/>
  <c r="I27" i="43"/>
  <c r="I22" i="43"/>
  <c r="H23" i="43"/>
  <c r="H24" i="43"/>
  <c r="H25" i="43"/>
  <c r="H26" i="43"/>
  <c r="H27" i="43"/>
  <c r="H22" i="43"/>
  <c r="G23" i="43"/>
  <c r="G24" i="43"/>
  <c r="G25" i="43"/>
  <c r="G26" i="43"/>
  <c r="G27" i="43"/>
  <c r="G22" i="43"/>
  <c r="E26" i="43"/>
  <c r="E25" i="43"/>
  <c r="E24" i="43"/>
  <c r="E23" i="43"/>
  <c r="E22" i="43"/>
  <c r="D23" i="43"/>
  <c r="D24" i="43"/>
  <c r="D25" i="43"/>
  <c r="D26" i="43"/>
  <c r="D27" i="43"/>
  <c r="D22" i="43"/>
  <c r="C27" i="43"/>
  <c r="C26" i="43"/>
  <c r="C25" i="43"/>
  <c r="C24" i="43"/>
  <c r="C23" i="43"/>
  <c r="C22" i="43"/>
  <c r="B27" i="43"/>
  <c r="B26" i="43"/>
  <c r="B25" i="43"/>
  <c r="B24" i="43"/>
  <c r="B23" i="43"/>
  <c r="B22" i="43"/>
  <c r="H19" i="43"/>
  <c r="H18" i="43"/>
  <c r="H17" i="43"/>
  <c r="H16" i="43"/>
  <c r="H15" i="43"/>
  <c r="H14" i="43"/>
  <c r="H5" i="43"/>
  <c r="H2" i="43"/>
  <c r="H3" i="43"/>
  <c r="H4" i="43"/>
  <c r="H6" i="43"/>
  <c r="H7" i="43"/>
  <c r="C7" i="43"/>
  <c r="B6" i="42"/>
  <c r="C6" i="43"/>
  <c r="D6" i="43" s="1"/>
  <c r="G6" i="43" s="1"/>
  <c r="C5" i="43"/>
  <c r="C4" i="43"/>
  <c r="C3" i="43"/>
  <c r="C2" i="43"/>
  <c r="B3" i="43"/>
  <c r="B4" i="43"/>
  <c r="B5" i="43"/>
  <c r="B6" i="43"/>
  <c r="B7" i="43"/>
  <c r="B2" i="43"/>
  <c r="B8" i="42"/>
  <c r="B9" i="42"/>
  <c r="E9" i="43"/>
  <c r="D7" i="43"/>
  <c r="G7" i="43" s="1"/>
  <c r="E2" i="43"/>
  <c r="E3" i="43"/>
  <c r="E4" i="43"/>
  <c r="E5" i="43"/>
  <c r="E6" i="43"/>
  <c r="D3" i="43"/>
  <c r="G3" i="43" s="1"/>
  <c r="D4" i="43"/>
  <c r="G4" i="43" s="1"/>
  <c r="D5" i="43"/>
  <c r="G5" i="43" s="1"/>
  <c r="D2" i="43"/>
  <c r="G2" i="43" s="1"/>
  <c r="N8" i="42"/>
  <c r="C66" i="42"/>
  <c r="P78" i="42"/>
  <c r="O78" i="42"/>
  <c r="N78" i="42"/>
  <c r="M78" i="42"/>
  <c r="L78" i="42"/>
  <c r="K78" i="42"/>
  <c r="J78" i="42"/>
  <c r="I78" i="42"/>
  <c r="H78" i="42"/>
  <c r="G78" i="42"/>
  <c r="F78" i="42"/>
  <c r="E78" i="42"/>
  <c r="D78" i="42"/>
  <c r="C78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B73" i="42"/>
  <c r="E73" i="42"/>
  <c r="C73" i="42"/>
  <c r="B72" i="42"/>
  <c r="I72" i="42"/>
  <c r="H72" i="42"/>
  <c r="G72" i="42"/>
  <c r="F72" i="42"/>
  <c r="E72" i="42"/>
  <c r="D72" i="42"/>
  <c r="C72" i="42"/>
  <c r="AD24" i="40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BG9" i="34"/>
  <c r="BH9" i="34"/>
  <c r="BI9" i="34"/>
  <c r="BJ9" i="34"/>
  <c r="BK9" i="34"/>
  <c r="BL9" i="34"/>
  <c r="BM9" i="34"/>
  <c r="BN9" i="34"/>
  <c r="BO9" i="34"/>
  <c r="BP9" i="34"/>
  <c r="BQ9" i="34"/>
  <c r="BR9" i="34"/>
  <c r="AD9" i="34"/>
  <c r="E90" i="34"/>
  <c r="AE10" i="42"/>
  <c r="AF10" i="42"/>
  <c r="AG10" i="42"/>
  <c r="AH10" i="42"/>
  <c r="AI10" i="42"/>
  <c r="AJ10" i="42"/>
  <c r="AK10" i="42"/>
  <c r="AL10" i="42"/>
  <c r="AM10" i="42"/>
  <c r="AN10" i="42"/>
  <c r="AO10" i="42"/>
  <c r="AP10" i="42"/>
  <c r="AQ10" i="42"/>
  <c r="AR10" i="42"/>
  <c r="AS10" i="42"/>
  <c r="AT10" i="42"/>
  <c r="AU10" i="42"/>
  <c r="AV10" i="42"/>
  <c r="AW10" i="42"/>
  <c r="AX10" i="42"/>
  <c r="AY10" i="42"/>
  <c r="AZ10" i="42"/>
  <c r="BA10" i="42"/>
  <c r="BB10" i="42"/>
  <c r="BC10" i="42"/>
  <c r="BD10" i="42"/>
  <c r="BE10" i="42"/>
  <c r="BF10" i="42"/>
  <c r="BG10" i="42"/>
  <c r="BH10" i="42"/>
  <c r="BI10" i="42"/>
  <c r="BJ10" i="42"/>
  <c r="BK10" i="42"/>
  <c r="BL10" i="42"/>
  <c r="BM10" i="42"/>
  <c r="BN10" i="42"/>
  <c r="BO10" i="42"/>
  <c r="BP10" i="42"/>
  <c r="BQ10" i="42"/>
  <c r="BR10" i="42"/>
  <c r="AD10" i="42"/>
  <c r="K109" i="42"/>
  <c r="K108" i="42"/>
  <c r="J108" i="42"/>
  <c r="K107" i="42"/>
  <c r="J107" i="42"/>
  <c r="I107" i="42"/>
  <c r="K106" i="42"/>
  <c r="J106" i="42"/>
  <c r="I106" i="42"/>
  <c r="K105" i="42"/>
  <c r="J105" i="42"/>
  <c r="I105" i="42"/>
  <c r="H105" i="42"/>
  <c r="G105" i="42"/>
  <c r="K104" i="42"/>
  <c r="J104" i="42"/>
  <c r="I104" i="42"/>
  <c r="H104" i="42"/>
  <c r="G104" i="42"/>
  <c r="F104" i="42"/>
  <c r="K103" i="42"/>
  <c r="J103" i="42"/>
  <c r="I103" i="42"/>
  <c r="H103" i="42"/>
  <c r="G103" i="42"/>
  <c r="F103" i="42"/>
  <c r="E103" i="42"/>
  <c r="K102" i="42"/>
  <c r="J102" i="42"/>
  <c r="I102" i="42"/>
  <c r="H102" i="42"/>
  <c r="G102" i="42"/>
  <c r="F102" i="42"/>
  <c r="E102" i="42"/>
  <c r="K97" i="42"/>
  <c r="K96" i="42"/>
  <c r="J96" i="42"/>
  <c r="K95" i="42"/>
  <c r="J95" i="42"/>
  <c r="I95" i="42"/>
  <c r="K94" i="42"/>
  <c r="J94" i="42"/>
  <c r="I94" i="42"/>
  <c r="K93" i="42"/>
  <c r="J93" i="42"/>
  <c r="I93" i="42"/>
  <c r="H93" i="42"/>
  <c r="G93" i="42"/>
  <c r="K92" i="42"/>
  <c r="J92" i="42"/>
  <c r="I92" i="42"/>
  <c r="H92" i="42"/>
  <c r="G92" i="42"/>
  <c r="F92" i="42"/>
  <c r="K91" i="42"/>
  <c r="J91" i="42"/>
  <c r="I91" i="42"/>
  <c r="H91" i="42"/>
  <c r="G91" i="42"/>
  <c r="F91" i="42"/>
  <c r="E91" i="42"/>
  <c r="K90" i="42"/>
  <c r="J90" i="42"/>
  <c r="I90" i="42"/>
  <c r="H90" i="42"/>
  <c r="G90" i="42"/>
  <c r="F90" i="42"/>
  <c r="E90" i="42"/>
  <c r="Z18" i="42"/>
  <c r="P46" i="42"/>
  <c r="N46" i="42"/>
  <c r="L46" i="42"/>
  <c r="I46" i="42"/>
  <c r="G46" i="42"/>
  <c r="E46" i="42"/>
  <c r="P31" i="42"/>
  <c r="B36" i="42" s="1"/>
  <c r="E36" i="42" s="1"/>
  <c r="O31" i="42"/>
  <c r="N31" i="42"/>
  <c r="M31" i="42"/>
  <c r="L31" i="42"/>
  <c r="K31" i="42"/>
  <c r="J31" i="42"/>
  <c r="I31" i="42"/>
  <c r="H31" i="42"/>
  <c r="G31" i="42"/>
  <c r="F31" i="42"/>
  <c r="E31" i="42"/>
  <c r="D31" i="42"/>
  <c r="C31" i="42"/>
  <c r="B31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C30" i="42"/>
  <c r="B59" i="42" s="1"/>
  <c r="B30" i="42"/>
  <c r="AA17" i="42"/>
  <c r="I10" i="42"/>
  <c r="B10" i="42"/>
  <c r="I9" i="42"/>
  <c r="I8" i="42"/>
  <c r="K6" i="42"/>
  <c r="Z4" i="42"/>
  <c r="Y4" i="42"/>
  <c r="X4" i="42"/>
  <c r="W4" i="42"/>
  <c r="V4" i="42"/>
  <c r="U4" i="42"/>
  <c r="T4" i="42"/>
  <c r="S4" i="42"/>
  <c r="R4" i="42"/>
  <c r="Z3" i="42"/>
  <c r="Y3" i="42"/>
  <c r="X3" i="42"/>
  <c r="W3" i="42"/>
  <c r="V3" i="42"/>
  <c r="U3" i="42"/>
  <c r="T3" i="42"/>
  <c r="S3" i="42"/>
  <c r="R3" i="42"/>
  <c r="Z2" i="42"/>
  <c r="Y2" i="42"/>
  <c r="X2" i="42"/>
  <c r="W2" i="42"/>
  <c r="V2" i="42"/>
  <c r="U2" i="42"/>
  <c r="T2" i="42"/>
  <c r="S2" i="42"/>
  <c r="R2" i="42"/>
  <c r="AE48" i="41"/>
  <c r="AF48" i="41"/>
  <c r="AG48" i="41"/>
  <c r="AH48" i="41"/>
  <c r="AI48" i="41"/>
  <c r="AJ48" i="41"/>
  <c r="AK48" i="41"/>
  <c r="AL48" i="41"/>
  <c r="AM48" i="41"/>
  <c r="AN48" i="41"/>
  <c r="AO48" i="41"/>
  <c r="AP48" i="41"/>
  <c r="AQ48" i="41"/>
  <c r="AR48" i="41"/>
  <c r="AS48" i="41"/>
  <c r="AT48" i="41"/>
  <c r="AU48" i="41"/>
  <c r="AV48" i="41"/>
  <c r="AW48" i="41"/>
  <c r="AX48" i="41"/>
  <c r="AY48" i="41"/>
  <c r="AZ48" i="41"/>
  <c r="BA48" i="41"/>
  <c r="BB48" i="41"/>
  <c r="BC48" i="41"/>
  <c r="BD48" i="41"/>
  <c r="BE48" i="41"/>
  <c r="BF48" i="41"/>
  <c r="BG48" i="41"/>
  <c r="BH48" i="41"/>
  <c r="BI48" i="41"/>
  <c r="BJ48" i="41"/>
  <c r="BK48" i="41"/>
  <c r="BL48" i="41"/>
  <c r="BM48" i="41"/>
  <c r="BN48" i="41"/>
  <c r="BO48" i="41"/>
  <c r="BP48" i="41"/>
  <c r="BQ48" i="41"/>
  <c r="BR48" i="41"/>
  <c r="AE47" i="41"/>
  <c r="AF47" i="41"/>
  <c r="AG47" i="41"/>
  <c r="AH47" i="41"/>
  <c r="AI47" i="41"/>
  <c r="AJ47" i="41"/>
  <c r="AK47" i="41"/>
  <c r="AL47" i="41"/>
  <c r="AM47" i="41"/>
  <c r="AN47" i="41"/>
  <c r="AO47" i="41"/>
  <c r="AP47" i="41"/>
  <c r="AQ47" i="41"/>
  <c r="AR47" i="41"/>
  <c r="AS47" i="41"/>
  <c r="AT47" i="41"/>
  <c r="AU47" i="41"/>
  <c r="AV47" i="41"/>
  <c r="AW47" i="41"/>
  <c r="AX47" i="41"/>
  <c r="AY47" i="41"/>
  <c r="AZ47" i="41"/>
  <c r="BA47" i="41"/>
  <c r="BB47" i="41"/>
  <c r="BC47" i="41"/>
  <c r="BD47" i="41"/>
  <c r="BE47" i="41"/>
  <c r="BF47" i="41"/>
  <c r="BG47" i="41"/>
  <c r="BH47" i="41"/>
  <c r="BI47" i="41"/>
  <c r="BJ47" i="41"/>
  <c r="BK47" i="41"/>
  <c r="BL47" i="41"/>
  <c r="BM47" i="41"/>
  <c r="BN47" i="41"/>
  <c r="BO47" i="41"/>
  <c r="BP47" i="41"/>
  <c r="BQ47" i="41"/>
  <c r="BR47" i="41"/>
  <c r="BK46" i="41"/>
  <c r="BL46" i="41"/>
  <c r="BM46" i="41"/>
  <c r="BN46" i="41"/>
  <c r="BO46" i="41"/>
  <c r="BP46" i="41"/>
  <c r="BQ46" i="41"/>
  <c r="BR46" i="41"/>
  <c r="AE46" i="41"/>
  <c r="AF46" i="41"/>
  <c r="AG46" i="41"/>
  <c r="AH46" i="41"/>
  <c r="AI46" i="41"/>
  <c r="AJ46" i="41"/>
  <c r="AK46" i="41"/>
  <c r="AL46" i="41"/>
  <c r="AM46" i="41"/>
  <c r="AN46" i="41"/>
  <c r="AO46" i="41"/>
  <c r="AP46" i="41"/>
  <c r="AQ46" i="41"/>
  <c r="AR46" i="41"/>
  <c r="AS46" i="41"/>
  <c r="AT46" i="41"/>
  <c r="AU46" i="41"/>
  <c r="AV46" i="41"/>
  <c r="AW46" i="41"/>
  <c r="AX46" i="41"/>
  <c r="AY46" i="41"/>
  <c r="AZ46" i="41"/>
  <c r="BA46" i="41"/>
  <c r="BB46" i="41"/>
  <c r="BC46" i="41"/>
  <c r="BD46" i="41"/>
  <c r="BE46" i="41"/>
  <c r="BF46" i="41"/>
  <c r="BG46" i="41"/>
  <c r="BH46" i="41"/>
  <c r="BI46" i="41"/>
  <c r="BJ46" i="41"/>
  <c r="AE45" i="41"/>
  <c r="AF45" i="41"/>
  <c r="AG45" i="41"/>
  <c r="AH45" i="41"/>
  <c r="AI45" i="41"/>
  <c r="AJ45" i="41"/>
  <c r="AK45" i="41"/>
  <c r="AL45" i="41"/>
  <c r="AM45" i="41"/>
  <c r="AN45" i="41"/>
  <c r="AO45" i="41"/>
  <c r="AP45" i="41"/>
  <c r="AQ45" i="41"/>
  <c r="AR45" i="41"/>
  <c r="AS45" i="41"/>
  <c r="AT45" i="41"/>
  <c r="AU45" i="41"/>
  <c r="AV45" i="41"/>
  <c r="AW45" i="41"/>
  <c r="AX45" i="41"/>
  <c r="AY45" i="41"/>
  <c r="AZ45" i="41"/>
  <c r="BA45" i="41"/>
  <c r="BB45" i="41"/>
  <c r="BC45" i="41"/>
  <c r="BD45" i="41"/>
  <c r="BE45" i="41"/>
  <c r="BF45" i="41"/>
  <c r="BG45" i="41"/>
  <c r="BH45" i="41"/>
  <c r="BI45" i="41"/>
  <c r="BJ45" i="41"/>
  <c r="BK45" i="41"/>
  <c r="BL45" i="41"/>
  <c r="BM45" i="41"/>
  <c r="BN45" i="41"/>
  <c r="BO45" i="41"/>
  <c r="BP45" i="41"/>
  <c r="BQ45" i="41"/>
  <c r="BR45" i="41"/>
  <c r="AE44" i="41"/>
  <c r="AF44" i="41"/>
  <c r="AG44" i="41"/>
  <c r="AH44" i="41"/>
  <c r="AI44" i="41"/>
  <c r="AJ44" i="41"/>
  <c r="AK44" i="41"/>
  <c r="AL44" i="41"/>
  <c r="AM44" i="41"/>
  <c r="AN44" i="41"/>
  <c r="AO44" i="41"/>
  <c r="AP44" i="41"/>
  <c r="AQ44" i="41"/>
  <c r="AR44" i="41"/>
  <c r="AS44" i="41"/>
  <c r="AT44" i="41"/>
  <c r="AU44" i="41"/>
  <c r="AV44" i="41"/>
  <c r="AW44" i="41"/>
  <c r="AX44" i="41"/>
  <c r="AY44" i="41"/>
  <c r="AZ44" i="41"/>
  <c r="BA44" i="41"/>
  <c r="BB44" i="41"/>
  <c r="BC44" i="41"/>
  <c r="BD44" i="41"/>
  <c r="BE44" i="41"/>
  <c r="BF44" i="41"/>
  <c r="BG44" i="41"/>
  <c r="BH44" i="41"/>
  <c r="BI44" i="41"/>
  <c r="BJ44" i="41"/>
  <c r="BK44" i="41"/>
  <c r="BL44" i="41"/>
  <c r="BM44" i="41"/>
  <c r="BN44" i="41"/>
  <c r="BO44" i="41"/>
  <c r="BP44" i="41"/>
  <c r="BQ44" i="41"/>
  <c r="BR44" i="41"/>
  <c r="AE43" i="41"/>
  <c r="AF43" i="41"/>
  <c r="AG43" i="41"/>
  <c r="AH43" i="41"/>
  <c r="AI43" i="41"/>
  <c r="AJ43" i="41"/>
  <c r="AK43" i="41"/>
  <c r="AL43" i="41"/>
  <c r="AM43" i="41"/>
  <c r="AN43" i="41"/>
  <c r="AO43" i="41"/>
  <c r="AP43" i="41"/>
  <c r="AQ43" i="41"/>
  <c r="AR43" i="41"/>
  <c r="AS43" i="41"/>
  <c r="AT43" i="41"/>
  <c r="AU43" i="41"/>
  <c r="AV43" i="41"/>
  <c r="AW43" i="41"/>
  <c r="AX43" i="41"/>
  <c r="AY43" i="41"/>
  <c r="AZ43" i="41"/>
  <c r="BA43" i="41"/>
  <c r="BB43" i="41"/>
  <c r="BC43" i="41"/>
  <c r="BD43" i="41"/>
  <c r="BE43" i="41"/>
  <c r="BF43" i="41"/>
  <c r="BG43" i="41"/>
  <c r="BH43" i="41"/>
  <c r="BI43" i="41"/>
  <c r="BJ43" i="41"/>
  <c r="BK43" i="41"/>
  <c r="BL43" i="41"/>
  <c r="BM43" i="41"/>
  <c r="BN43" i="41"/>
  <c r="BO43" i="41"/>
  <c r="BP43" i="41"/>
  <c r="BQ43" i="41"/>
  <c r="BR43" i="41"/>
  <c r="AE42" i="41"/>
  <c r="AF42" i="41"/>
  <c r="AG42" i="41"/>
  <c r="AH42" i="41"/>
  <c r="AI42" i="41"/>
  <c r="AJ42" i="41"/>
  <c r="AK42" i="41"/>
  <c r="AL42" i="41"/>
  <c r="AM42" i="41"/>
  <c r="AN42" i="41"/>
  <c r="AO42" i="41"/>
  <c r="AP42" i="41"/>
  <c r="AQ42" i="41"/>
  <c r="AR42" i="41"/>
  <c r="AS42" i="41"/>
  <c r="AT42" i="41"/>
  <c r="AU42" i="41"/>
  <c r="AV42" i="41"/>
  <c r="AW42" i="41"/>
  <c r="AX42" i="41"/>
  <c r="AY42" i="41"/>
  <c r="AZ42" i="41"/>
  <c r="BA42" i="41"/>
  <c r="BB42" i="41"/>
  <c r="BC42" i="41"/>
  <c r="BD42" i="41"/>
  <c r="BE42" i="41"/>
  <c r="BF42" i="41"/>
  <c r="BG42" i="41"/>
  <c r="BH42" i="41"/>
  <c r="BI42" i="41"/>
  <c r="BJ42" i="41"/>
  <c r="BK42" i="41"/>
  <c r="BL42" i="41"/>
  <c r="BM42" i="41"/>
  <c r="BN42" i="41"/>
  <c r="BO42" i="41"/>
  <c r="BP42" i="41"/>
  <c r="BQ42" i="41"/>
  <c r="BR42" i="41"/>
  <c r="AE41" i="41"/>
  <c r="AF41" i="41"/>
  <c r="AG41" i="41"/>
  <c r="AH41" i="41"/>
  <c r="AI41" i="41"/>
  <c r="AJ41" i="41"/>
  <c r="AK41" i="41"/>
  <c r="AL41" i="41"/>
  <c r="AM41" i="41"/>
  <c r="AN41" i="41"/>
  <c r="AO41" i="41"/>
  <c r="AP41" i="41"/>
  <c r="AQ41" i="41"/>
  <c r="AR41" i="41"/>
  <c r="AS41" i="41"/>
  <c r="AT41" i="41"/>
  <c r="AU41" i="41"/>
  <c r="AV41" i="41"/>
  <c r="AW41" i="41"/>
  <c r="AX41" i="41"/>
  <c r="AY41" i="41"/>
  <c r="AZ41" i="41"/>
  <c r="BA41" i="41"/>
  <c r="BB41" i="41"/>
  <c r="BC41" i="41"/>
  <c r="BD41" i="41"/>
  <c r="BE41" i="41"/>
  <c r="BF41" i="41"/>
  <c r="BG41" i="41"/>
  <c r="BH41" i="41"/>
  <c r="BI41" i="41"/>
  <c r="BJ41" i="41"/>
  <c r="BK41" i="41"/>
  <c r="BL41" i="41"/>
  <c r="BM41" i="41"/>
  <c r="BN41" i="41"/>
  <c r="BO41" i="41"/>
  <c r="BP41" i="41"/>
  <c r="BQ41" i="41"/>
  <c r="BR41" i="41"/>
  <c r="AE40" i="41"/>
  <c r="AF40" i="41"/>
  <c r="AG40" i="41"/>
  <c r="AH40" i="41"/>
  <c r="AI40" i="41"/>
  <c r="AJ40" i="41"/>
  <c r="AK40" i="41"/>
  <c r="AL40" i="41"/>
  <c r="AM40" i="41"/>
  <c r="AN40" i="41"/>
  <c r="AO40" i="41"/>
  <c r="AP40" i="41"/>
  <c r="AQ40" i="41"/>
  <c r="AR40" i="41"/>
  <c r="AS40" i="41"/>
  <c r="AT40" i="41"/>
  <c r="AU40" i="41"/>
  <c r="AV40" i="41"/>
  <c r="AW40" i="41"/>
  <c r="AX40" i="41"/>
  <c r="AY40" i="41"/>
  <c r="AZ40" i="41"/>
  <c r="BA40" i="41"/>
  <c r="BB40" i="41"/>
  <c r="BC40" i="41"/>
  <c r="BD40" i="41"/>
  <c r="BE40" i="41"/>
  <c r="BF40" i="41"/>
  <c r="BG40" i="41"/>
  <c r="BH40" i="41"/>
  <c r="BI40" i="41"/>
  <c r="BJ40" i="41"/>
  <c r="BK40" i="41"/>
  <c r="BL40" i="41"/>
  <c r="BM40" i="41"/>
  <c r="BN40" i="41"/>
  <c r="BO40" i="41"/>
  <c r="BP40" i="41"/>
  <c r="BQ40" i="41"/>
  <c r="BR40" i="41"/>
  <c r="AE39" i="41"/>
  <c r="AF39" i="41"/>
  <c r="AG39" i="41"/>
  <c r="AH39" i="41"/>
  <c r="AI39" i="41"/>
  <c r="AJ39" i="41"/>
  <c r="AK39" i="41"/>
  <c r="AL39" i="41"/>
  <c r="AM39" i="41"/>
  <c r="AN39" i="41"/>
  <c r="AO39" i="41"/>
  <c r="AP39" i="41"/>
  <c r="AQ39" i="41"/>
  <c r="AR39" i="41"/>
  <c r="AS39" i="41"/>
  <c r="AT39" i="41"/>
  <c r="AU39" i="41"/>
  <c r="AV39" i="41"/>
  <c r="AW39" i="41"/>
  <c r="AX39" i="41"/>
  <c r="AY39" i="41"/>
  <c r="AZ39" i="41"/>
  <c r="BA39" i="41"/>
  <c r="BB39" i="41"/>
  <c r="BC39" i="41"/>
  <c r="BD39" i="41"/>
  <c r="BE39" i="41"/>
  <c r="BF39" i="41"/>
  <c r="BG39" i="41"/>
  <c r="BH39" i="41"/>
  <c r="BI39" i="41"/>
  <c r="BJ39" i="41"/>
  <c r="BK39" i="41"/>
  <c r="BL39" i="41"/>
  <c r="BM39" i="41"/>
  <c r="BN39" i="41"/>
  <c r="BO39" i="41"/>
  <c r="BP39" i="41"/>
  <c r="BQ39" i="41"/>
  <c r="BR39" i="41"/>
  <c r="AE38" i="41"/>
  <c r="AF38" i="41"/>
  <c r="AG38" i="41"/>
  <c r="AH38" i="41"/>
  <c r="AI38" i="41"/>
  <c r="AJ38" i="41"/>
  <c r="AK38" i="41"/>
  <c r="AL38" i="41"/>
  <c r="AM38" i="41"/>
  <c r="AN38" i="41"/>
  <c r="AO38" i="41"/>
  <c r="AP38" i="41"/>
  <c r="AQ38" i="41"/>
  <c r="AR38" i="41"/>
  <c r="AS38" i="41"/>
  <c r="AT38" i="41"/>
  <c r="AU38" i="41"/>
  <c r="AV38" i="41"/>
  <c r="AW38" i="41"/>
  <c r="AX38" i="41"/>
  <c r="AY38" i="41"/>
  <c r="AZ38" i="41"/>
  <c r="BA38" i="41"/>
  <c r="BB38" i="41"/>
  <c r="BC38" i="41"/>
  <c r="BD38" i="41"/>
  <c r="BE38" i="41"/>
  <c r="BF38" i="41"/>
  <c r="BG38" i="41"/>
  <c r="BH38" i="41"/>
  <c r="BI38" i="41"/>
  <c r="BJ38" i="41"/>
  <c r="BK38" i="41"/>
  <c r="BL38" i="41"/>
  <c r="BM38" i="41"/>
  <c r="BN38" i="41"/>
  <c r="BO38" i="41"/>
  <c r="BP38" i="41"/>
  <c r="BQ38" i="41"/>
  <c r="BR38" i="41"/>
  <c r="AE37" i="41"/>
  <c r="AF37" i="41"/>
  <c r="AG37" i="41"/>
  <c r="AH37" i="41"/>
  <c r="AI37" i="41"/>
  <c r="AJ37" i="41"/>
  <c r="AK37" i="41"/>
  <c r="AL37" i="41"/>
  <c r="AM37" i="41"/>
  <c r="AN37" i="41"/>
  <c r="AO37" i="41"/>
  <c r="AP37" i="41"/>
  <c r="AQ37" i="41"/>
  <c r="AR37" i="41"/>
  <c r="AS37" i="41"/>
  <c r="AT37" i="41"/>
  <c r="AU37" i="41"/>
  <c r="AV37" i="41"/>
  <c r="AW37" i="41"/>
  <c r="AX37" i="41"/>
  <c r="AY37" i="41"/>
  <c r="AZ37" i="41"/>
  <c r="BA37" i="41"/>
  <c r="BB37" i="41"/>
  <c r="BC37" i="41"/>
  <c r="BD37" i="41"/>
  <c r="BE37" i="41"/>
  <c r="BF37" i="41"/>
  <c r="BG37" i="41"/>
  <c r="BH37" i="41"/>
  <c r="BI37" i="41"/>
  <c r="BJ37" i="41"/>
  <c r="BK37" i="41"/>
  <c r="BL37" i="41"/>
  <c r="BM37" i="41"/>
  <c r="BN37" i="41"/>
  <c r="BO37" i="41"/>
  <c r="BP37" i="41"/>
  <c r="BQ37" i="41"/>
  <c r="BR37" i="41"/>
  <c r="AE36" i="41"/>
  <c r="AF36" i="41"/>
  <c r="AG36" i="41"/>
  <c r="AH36" i="41"/>
  <c r="AI36" i="41"/>
  <c r="AJ36" i="41"/>
  <c r="AK36" i="41"/>
  <c r="AL36" i="41"/>
  <c r="AM36" i="41"/>
  <c r="AN36" i="41"/>
  <c r="AO36" i="41"/>
  <c r="AP36" i="41"/>
  <c r="AQ36" i="41"/>
  <c r="AR36" i="41"/>
  <c r="AS36" i="41"/>
  <c r="AT36" i="41"/>
  <c r="AU36" i="41"/>
  <c r="AV36" i="41"/>
  <c r="AW36" i="41"/>
  <c r="AX36" i="41"/>
  <c r="AY36" i="41"/>
  <c r="AZ36" i="41"/>
  <c r="BA36" i="41"/>
  <c r="BB36" i="41"/>
  <c r="BC36" i="41"/>
  <c r="BD36" i="41"/>
  <c r="BE36" i="41"/>
  <c r="BF36" i="41"/>
  <c r="BG36" i="41"/>
  <c r="BH36" i="41"/>
  <c r="BI36" i="41"/>
  <c r="BJ36" i="41"/>
  <c r="BK36" i="41"/>
  <c r="BL36" i="41"/>
  <c r="BM36" i="41"/>
  <c r="BN36" i="41"/>
  <c r="BO36" i="41"/>
  <c r="BP36" i="41"/>
  <c r="BQ36" i="41"/>
  <c r="BR36" i="41"/>
  <c r="AE35" i="41"/>
  <c r="AF35" i="41"/>
  <c r="AG35" i="41"/>
  <c r="AH35" i="41"/>
  <c r="AI35" i="41"/>
  <c r="AJ35" i="41"/>
  <c r="AK35" i="41"/>
  <c r="AL35" i="41"/>
  <c r="AM35" i="41"/>
  <c r="AN35" i="41"/>
  <c r="AO35" i="41"/>
  <c r="AP35" i="41"/>
  <c r="AQ35" i="41"/>
  <c r="AR35" i="41"/>
  <c r="AS35" i="41"/>
  <c r="AT35" i="41"/>
  <c r="AU35" i="41"/>
  <c r="AV35" i="41"/>
  <c r="AW35" i="41"/>
  <c r="AX35" i="41"/>
  <c r="AY35" i="41"/>
  <c r="AZ35" i="41"/>
  <c r="BA35" i="41"/>
  <c r="BB35" i="41"/>
  <c r="BC35" i="41"/>
  <c r="BD35" i="41"/>
  <c r="BE35" i="41"/>
  <c r="BF35" i="41"/>
  <c r="BG35" i="41"/>
  <c r="BH35" i="41"/>
  <c r="BI35" i="41"/>
  <c r="BJ35" i="41"/>
  <c r="BK35" i="41"/>
  <c r="BL35" i="41"/>
  <c r="BM35" i="41"/>
  <c r="BN35" i="41"/>
  <c r="BO35" i="41"/>
  <c r="BP35" i="41"/>
  <c r="BQ35" i="41"/>
  <c r="BR35" i="41"/>
  <c r="AE34" i="41"/>
  <c r="AF34" i="41"/>
  <c r="AG34" i="41"/>
  <c r="AH34" i="41"/>
  <c r="AI34" i="41"/>
  <c r="AJ34" i="41"/>
  <c r="AK34" i="41"/>
  <c r="AL34" i="41"/>
  <c r="AM34" i="41"/>
  <c r="AN34" i="41"/>
  <c r="AO34" i="41"/>
  <c r="AP34" i="41"/>
  <c r="AQ34" i="41"/>
  <c r="AR34" i="41"/>
  <c r="AS34" i="41"/>
  <c r="AT34" i="41"/>
  <c r="AU34" i="41"/>
  <c r="AV34" i="41"/>
  <c r="AW34" i="41"/>
  <c r="AX34" i="41"/>
  <c r="AY34" i="41"/>
  <c r="AZ34" i="41"/>
  <c r="BA34" i="41"/>
  <c r="BB34" i="41"/>
  <c r="BC34" i="41"/>
  <c r="BD34" i="41"/>
  <c r="BE34" i="41"/>
  <c r="BF34" i="41"/>
  <c r="BG34" i="41"/>
  <c r="BH34" i="41"/>
  <c r="BI34" i="41"/>
  <c r="BJ34" i="41"/>
  <c r="BK34" i="41"/>
  <c r="BL34" i="41"/>
  <c r="BM34" i="41"/>
  <c r="BN34" i="41"/>
  <c r="BO34" i="41"/>
  <c r="BP34" i="41"/>
  <c r="BQ34" i="41"/>
  <c r="BR34" i="41"/>
  <c r="AD48" i="41"/>
  <c r="AD47" i="41"/>
  <c r="AD46" i="41"/>
  <c r="AD45" i="41"/>
  <c r="AD44" i="41"/>
  <c r="AD43" i="41"/>
  <c r="AD42" i="41"/>
  <c r="AD41" i="41"/>
  <c r="AD40" i="41"/>
  <c r="AD39" i="41"/>
  <c r="AD38" i="41"/>
  <c r="AD37" i="41"/>
  <c r="AD36" i="41"/>
  <c r="AD35" i="41"/>
  <c r="AD34" i="41"/>
  <c r="P34" i="40"/>
  <c r="A37" i="40" s="1"/>
  <c r="BR33" i="40"/>
  <c r="AE33" i="40"/>
  <c r="AF33" i="40"/>
  <c r="AG33" i="40"/>
  <c r="AH33" i="40"/>
  <c r="AI33" i="40"/>
  <c r="AJ33" i="40"/>
  <c r="AK33" i="40"/>
  <c r="AL33" i="40"/>
  <c r="AM33" i="40"/>
  <c r="AN33" i="40"/>
  <c r="AO33" i="40"/>
  <c r="AP33" i="40"/>
  <c r="AQ33" i="40"/>
  <c r="AR33" i="40"/>
  <c r="AS33" i="40"/>
  <c r="AT33" i="40"/>
  <c r="AU33" i="40"/>
  <c r="AV33" i="40"/>
  <c r="AW33" i="40"/>
  <c r="AX33" i="40"/>
  <c r="AY33" i="40"/>
  <c r="AZ33" i="40"/>
  <c r="BA33" i="40"/>
  <c r="BB33" i="40"/>
  <c r="BC33" i="40"/>
  <c r="BD33" i="40"/>
  <c r="BE33" i="40"/>
  <c r="BF33" i="40"/>
  <c r="BG33" i="40"/>
  <c r="BH33" i="40"/>
  <c r="BI33" i="40"/>
  <c r="BJ33" i="40"/>
  <c r="BK33" i="40"/>
  <c r="BL33" i="40"/>
  <c r="BM33" i="40"/>
  <c r="BN33" i="40"/>
  <c r="BO33" i="40"/>
  <c r="BP33" i="40"/>
  <c r="BQ33" i="40"/>
  <c r="AE32" i="40"/>
  <c r="AF32" i="40"/>
  <c r="AG32" i="40"/>
  <c r="AH32" i="40"/>
  <c r="AI32" i="40"/>
  <c r="AJ32" i="40"/>
  <c r="AK32" i="40"/>
  <c r="AL32" i="40"/>
  <c r="AM32" i="40"/>
  <c r="AN32" i="40"/>
  <c r="AO32" i="40"/>
  <c r="AP32" i="40"/>
  <c r="AQ32" i="40"/>
  <c r="AR32" i="40"/>
  <c r="AS32" i="40"/>
  <c r="AT32" i="40"/>
  <c r="AU32" i="40"/>
  <c r="AV32" i="40"/>
  <c r="AW32" i="40"/>
  <c r="AX32" i="40"/>
  <c r="AY32" i="40"/>
  <c r="AZ32" i="40"/>
  <c r="BA32" i="40"/>
  <c r="BB32" i="40"/>
  <c r="BC32" i="40"/>
  <c r="BD32" i="40"/>
  <c r="BE32" i="40"/>
  <c r="BF32" i="40"/>
  <c r="BG32" i="40"/>
  <c r="BH32" i="40"/>
  <c r="BI32" i="40"/>
  <c r="BJ32" i="40"/>
  <c r="BK32" i="40"/>
  <c r="BL32" i="40"/>
  <c r="BM32" i="40"/>
  <c r="BN32" i="40"/>
  <c r="BO32" i="40"/>
  <c r="BP32" i="40"/>
  <c r="BQ32" i="40"/>
  <c r="BR32" i="40"/>
  <c r="AE31" i="40"/>
  <c r="AF31" i="40"/>
  <c r="AG31" i="40"/>
  <c r="AH31" i="40"/>
  <c r="AI31" i="40"/>
  <c r="AJ31" i="40"/>
  <c r="AK31" i="40"/>
  <c r="AL31" i="40"/>
  <c r="AM31" i="40"/>
  <c r="AN31" i="40"/>
  <c r="AO31" i="40"/>
  <c r="AP31" i="40"/>
  <c r="AQ31" i="40"/>
  <c r="AR31" i="40"/>
  <c r="AS31" i="40"/>
  <c r="AT31" i="40"/>
  <c r="AU31" i="40"/>
  <c r="AV31" i="40"/>
  <c r="AW31" i="40"/>
  <c r="AX31" i="40"/>
  <c r="AY31" i="40"/>
  <c r="AZ31" i="40"/>
  <c r="BA31" i="40"/>
  <c r="BB31" i="40"/>
  <c r="BC31" i="40"/>
  <c r="BD31" i="40"/>
  <c r="BE31" i="40"/>
  <c r="BF31" i="40"/>
  <c r="BG31" i="40"/>
  <c r="BH31" i="40"/>
  <c r="BI31" i="40"/>
  <c r="BJ31" i="40"/>
  <c r="BK31" i="40"/>
  <c r="BL31" i="40"/>
  <c r="BM31" i="40"/>
  <c r="BN31" i="40"/>
  <c r="BO31" i="40"/>
  <c r="BP31" i="40"/>
  <c r="BQ31" i="40"/>
  <c r="BR31" i="40"/>
  <c r="AE30" i="40"/>
  <c r="AF30" i="40"/>
  <c r="AG30" i="40"/>
  <c r="AH30" i="40"/>
  <c r="AI30" i="40"/>
  <c r="AJ30" i="40"/>
  <c r="AK30" i="40"/>
  <c r="AL30" i="40"/>
  <c r="AM30" i="40"/>
  <c r="AN30" i="40"/>
  <c r="AO30" i="40"/>
  <c r="AP30" i="40"/>
  <c r="AQ30" i="40"/>
  <c r="AR30" i="40"/>
  <c r="AS30" i="40"/>
  <c r="AT30" i="40"/>
  <c r="AU30" i="40"/>
  <c r="AV30" i="40"/>
  <c r="AW30" i="40"/>
  <c r="AX30" i="40"/>
  <c r="AY30" i="40"/>
  <c r="AZ30" i="40"/>
  <c r="BA30" i="40"/>
  <c r="BB30" i="40"/>
  <c r="BC30" i="40"/>
  <c r="BD30" i="40"/>
  <c r="BE30" i="40"/>
  <c r="BF30" i="40"/>
  <c r="BG30" i="40"/>
  <c r="BH30" i="40"/>
  <c r="BI30" i="40"/>
  <c r="BJ30" i="40"/>
  <c r="BK30" i="40"/>
  <c r="BL30" i="40"/>
  <c r="BM30" i="40"/>
  <c r="BN30" i="40"/>
  <c r="BO30" i="40"/>
  <c r="BP30" i="40"/>
  <c r="BQ30" i="40"/>
  <c r="BR30" i="40"/>
  <c r="AE29" i="40"/>
  <c r="AF29" i="40"/>
  <c r="AG29" i="40"/>
  <c r="AH29" i="40"/>
  <c r="AI29" i="40"/>
  <c r="AJ29" i="40"/>
  <c r="AK29" i="40"/>
  <c r="AL29" i="40"/>
  <c r="AM29" i="40"/>
  <c r="AN29" i="40"/>
  <c r="AO29" i="40"/>
  <c r="AP29" i="40"/>
  <c r="AQ29" i="40"/>
  <c r="AR29" i="40"/>
  <c r="AS29" i="40"/>
  <c r="AT29" i="40"/>
  <c r="AU29" i="40"/>
  <c r="AV29" i="40"/>
  <c r="AW29" i="40"/>
  <c r="AX29" i="40"/>
  <c r="AY29" i="40"/>
  <c r="AZ29" i="40"/>
  <c r="BA29" i="40"/>
  <c r="BB29" i="40"/>
  <c r="BC29" i="40"/>
  <c r="BD29" i="40"/>
  <c r="BE29" i="40"/>
  <c r="BF29" i="40"/>
  <c r="BG29" i="40"/>
  <c r="BH29" i="40"/>
  <c r="BI29" i="40"/>
  <c r="BJ29" i="40"/>
  <c r="BK29" i="40"/>
  <c r="BL29" i="40"/>
  <c r="BM29" i="40"/>
  <c r="BN29" i="40"/>
  <c r="BO29" i="40"/>
  <c r="BP29" i="40"/>
  <c r="BQ29" i="40"/>
  <c r="BR29" i="40"/>
  <c r="AE28" i="40"/>
  <c r="AF28" i="40"/>
  <c r="AG28" i="40"/>
  <c r="AH28" i="40"/>
  <c r="AI28" i="40"/>
  <c r="AJ28" i="40"/>
  <c r="AK28" i="40"/>
  <c r="AL28" i="40"/>
  <c r="AM28" i="40"/>
  <c r="AN28" i="40"/>
  <c r="AO28" i="40"/>
  <c r="AP28" i="40"/>
  <c r="AQ28" i="40"/>
  <c r="AR28" i="40"/>
  <c r="AS28" i="40"/>
  <c r="AT28" i="40"/>
  <c r="AU28" i="40"/>
  <c r="AV28" i="40"/>
  <c r="AW28" i="40"/>
  <c r="AX28" i="40"/>
  <c r="AY28" i="40"/>
  <c r="AZ28" i="40"/>
  <c r="BA28" i="40"/>
  <c r="BB28" i="40"/>
  <c r="BC28" i="40"/>
  <c r="BD28" i="40"/>
  <c r="BE28" i="40"/>
  <c r="BF28" i="40"/>
  <c r="BG28" i="40"/>
  <c r="BH28" i="40"/>
  <c r="BI28" i="40"/>
  <c r="BJ28" i="40"/>
  <c r="BK28" i="40"/>
  <c r="BL28" i="40"/>
  <c r="BM28" i="40"/>
  <c r="BN28" i="40"/>
  <c r="BO28" i="40"/>
  <c r="BP28" i="40"/>
  <c r="BQ28" i="40"/>
  <c r="BR28" i="40"/>
  <c r="AE27" i="40"/>
  <c r="AF27" i="40"/>
  <c r="AG27" i="40"/>
  <c r="AH27" i="40"/>
  <c r="AI27" i="40"/>
  <c r="AJ27" i="40"/>
  <c r="AK27" i="40"/>
  <c r="AL27" i="40"/>
  <c r="AM27" i="40"/>
  <c r="AN27" i="40"/>
  <c r="AO27" i="40"/>
  <c r="AP27" i="40"/>
  <c r="AQ27" i="40"/>
  <c r="AR27" i="40"/>
  <c r="AS27" i="40"/>
  <c r="AT27" i="40"/>
  <c r="AU27" i="40"/>
  <c r="AV27" i="40"/>
  <c r="AW27" i="40"/>
  <c r="AX27" i="40"/>
  <c r="AY27" i="40"/>
  <c r="AZ27" i="40"/>
  <c r="BA27" i="40"/>
  <c r="BB27" i="40"/>
  <c r="BC27" i="40"/>
  <c r="BD27" i="40"/>
  <c r="BE27" i="40"/>
  <c r="BF27" i="40"/>
  <c r="BG27" i="40"/>
  <c r="BH27" i="40"/>
  <c r="BI27" i="40"/>
  <c r="BJ27" i="40"/>
  <c r="BK27" i="40"/>
  <c r="BL27" i="40"/>
  <c r="BM27" i="40"/>
  <c r="BN27" i="40"/>
  <c r="BO27" i="40"/>
  <c r="BP27" i="40"/>
  <c r="BQ27" i="40"/>
  <c r="BR27" i="40"/>
  <c r="AE26" i="40"/>
  <c r="AF26" i="40"/>
  <c r="AG26" i="40"/>
  <c r="AH26" i="40"/>
  <c r="AI26" i="40"/>
  <c r="AJ26" i="40"/>
  <c r="AK26" i="40"/>
  <c r="AL26" i="40"/>
  <c r="AM26" i="40"/>
  <c r="AN26" i="40"/>
  <c r="AO26" i="40"/>
  <c r="AP26" i="40"/>
  <c r="AQ26" i="40"/>
  <c r="AR26" i="40"/>
  <c r="AS26" i="40"/>
  <c r="AT26" i="40"/>
  <c r="AU26" i="40"/>
  <c r="AV26" i="40"/>
  <c r="AW26" i="40"/>
  <c r="AX26" i="40"/>
  <c r="AY26" i="40"/>
  <c r="AZ26" i="40"/>
  <c r="BA26" i="40"/>
  <c r="BB26" i="40"/>
  <c r="BC26" i="40"/>
  <c r="BD26" i="40"/>
  <c r="BE26" i="40"/>
  <c r="BF26" i="40"/>
  <c r="BG26" i="40"/>
  <c r="BH26" i="40"/>
  <c r="BI26" i="40"/>
  <c r="BJ26" i="40"/>
  <c r="BK26" i="40"/>
  <c r="BL26" i="40"/>
  <c r="BM26" i="40"/>
  <c r="BN26" i="40"/>
  <c r="BO26" i="40"/>
  <c r="BP26" i="40"/>
  <c r="BQ26" i="40"/>
  <c r="BR26" i="40"/>
  <c r="AE25" i="40"/>
  <c r="AF25" i="40"/>
  <c r="AG25" i="40"/>
  <c r="AH25" i="40"/>
  <c r="AI25" i="40"/>
  <c r="AJ25" i="40"/>
  <c r="AK25" i="40"/>
  <c r="AL25" i="40"/>
  <c r="AM25" i="40"/>
  <c r="AN25" i="40"/>
  <c r="AO25" i="40"/>
  <c r="AP25" i="40"/>
  <c r="AQ25" i="40"/>
  <c r="AR25" i="40"/>
  <c r="AS25" i="40"/>
  <c r="AT25" i="40"/>
  <c r="AU25" i="40"/>
  <c r="AV25" i="40"/>
  <c r="AW25" i="40"/>
  <c r="AX25" i="40"/>
  <c r="AY25" i="40"/>
  <c r="AZ25" i="40"/>
  <c r="BA25" i="40"/>
  <c r="BB25" i="40"/>
  <c r="BC25" i="40"/>
  <c r="BD25" i="40"/>
  <c r="BE25" i="40"/>
  <c r="BF25" i="40"/>
  <c r="BG25" i="40"/>
  <c r="BH25" i="40"/>
  <c r="BI25" i="40"/>
  <c r="BJ25" i="40"/>
  <c r="BK25" i="40"/>
  <c r="BL25" i="40"/>
  <c r="BM25" i="40"/>
  <c r="BN25" i="40"/>
  <c r="BO25" i="40"/>
  <c r="BP25" i="40"/>
  <c r="BQ25" i="40"/>
  <c r="BR25" i="40"/>
  <c r="AE24" i="40"/>
  <c r="AF24" i="40"/>
  <c r="AG24" i="40"/>
  <c r="AH24" i="40"/>
  <c r="AI24" i="40"/>
  <c r="AJ24" i="40"/>
  <c r="AK24" i="40"/>
  <c r="AL24" i="40"/>
  <c r="AM24" i="40"/>
  <c r="AN24" i="40"/>
  <c r="AO24" i="40"/>
  <c r="AP24" i="40"/>
  <c r="AQ24" i="40"/>
  <c r="AR24" i="40"/>
  <c r="AS24" i="40"/>
  <c r="AT24" i="40"/>
  <c r="AU24" i="40"/>
  <c r="AV24" i="40"/>
  <c r="AW24" i="40"/>
  <c r="AX24" i="40"/>
  <c r="AY24" i="40"/>
  <c r="AZ24" i="40"/>
  <c r="BA24" i="40"/>
  <c r="BB24" i="40"/>
  <c r="BC24" i="40"/>
  <c r="BD24" i="40"/>
  <c r="BE24" i="40"/>
  <c r="BF24" i="40"/>
  <c r="BG24" i="40"/>
  <c r="BH24" i="40"/>
  <c r="BI24" i="40"/>
  <c r="BJ24" i="40"/>
  <c r="BK24" i="40"/>
  <c r="BL24" i="40"/>
  <c r="BM24" i="40"/>
  <c r="BN24" i="40"/>
  <c r="BO24" i="40"/>
  <c r="BP24" i="40"/>
  <c r="BQ24" i="40"/>
  <c r="BR24" i="40"/>
  <c r="AD33" i="40"/>
  <c r="AD32" i="40"/>
  <c r="AD31" i="40"/>
  <c r="AD30" i="40"/>
  <c r="AD29" i="40"/>
  <c r="AD28" i="40"/>
  <c r="AD27" i="40"/>
  <c r="AD26" i="40"/>
  <c r="AD25" i="40"/>
  <c r="R7" i="41"/>
  <c r="S7" i="41"/>
  <c r="T7" i="41"/>
  <c r="U7" i="41"/>
  <c r="V7" i="41"/>
  <c r="W7" i="41"/>
  <c r="X7" i="41"/>
  <c r="Y7" i="41"/>
  <c r="Z7" i="41"/>
  <c r="B35" i="41"/>
  <c r="C35" i="41"/>
  <c r="D35" i="41"/>
  <c r="E49" i="41" s="1"/>
  <c r="E35" i="41"/>
  <c r="F35" i="41"/>
  <c r="G49" i="41" s="1"/>
  <c r="G35" i="41"/>
  <c r="H35" i="41"/>
  <c r="I49" i="41" s="1"/>
  <c r="I35" i="41"/>
  <c r="J35" i="41"/>
  <c r="K35" i="41"/>
  <c r="L49" i="41" s="1"/>
  <c r="L35" i="41"/>
  <c r="M35" i="41"/>
  <c r="N49" i="41" s="1"/>
  <c r="N35" i="41"/>
  <c r="O35" i="41"/>
  <c r="P49" i="41" s="1"/>
  <c r="P35" i="41"/>
  <c r="A38" i="41" s="1"/>
  <c r="I13" i="41"/>
  <c r="B13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T18" i="41" s="1"/>
  <c r="D32" i="41"/>
  <c r="C32" i="41"/>
  <c r="S18" i="41" s="1"/>
  <c r="B32" i="41"/>
  <c r="P31" i="41"/>
  <c r="O31" i="41"/>
  <c r="N31" i="41"/>
  <c r="Y17" i="41" s="1"/>
  <c r="M31" i="41"/>
  <c r="L31" i="41"/>
  <c r="X17" i="41" s="1"/>
  <c r="K31" i="41"/>
  <c r="J31" i="41"/>
  <c r="W17" i="41" s="1"/>
  <c r="I31" i="41"/>
  <c r="H31" i="41"/>
  <c r="G31" i="41"/>
  <c r="U17" i="41" s="1"/>
  <c r="F31" i="41"/>
  <c r="E31" i="41"/>
  <c r="T17" i="41" s="1"/>
  <c r="D31" i="41"/>
  <c r="C31" i="41"/>
  <c r="S17" i="41" s="1"/>
  <c r="B31" i="41"/>
  <c r="P30" i="41"/>
  <c r="O30" i="41"/>
  <c r="N30" i="41"/>
  <c r="Y16" i="41" s="1"/>
  <c r="M30" i="41"/>
  <c r="L30" i="41"/>
  <c r="X16" i="41" s="1"/>
  <c r="K30" i="41"/>
  <c r="J30" i="41"/>
  <c r="W16" i="41" s="1"/>
  <c r="I30" i="41"/>
  <c r="H30" i="41"/>
  <c r="G30" i="41"/>
  <c r="U16" i="41" s="1"/>
  <c r="F30" i="41"/>
  <c r="E30" i="41"/>
  <c r="T16" i="41" s="1"/>
  <c r="D30" i="41"/>
  <c r="C30" i="41"/>
  <c r="S16" i="41" s="1"/>
  <c r="B30" i="41"/>
  <c r="I12" i="41"/>
  <c r="B12" i="41"/>
  <c r="I11" i="41"/>
  <c r="D11" i="41"/>
  <c r="B11" i="41"/>
  <c r="I10" i="41"/>
  <c r="D10" i="41"/>
  <c r="B10" i="41"/>
  <c r="I9" i="41"/>
  <c r="D9" i="41"/>
  <c r="B9" i="41"/>
  <c r="I8" i="41"/>
  <c r="D8" i="41"/>
  <c r="AA17" i="41" s="1"/>
  <c r="B8" i="41"/>
  <c r="Z6" i="41"/>
  <c r="Y6" i="41"/>
  <c r="X6" i="41"/>
  <c r="W6" i="41"/>
  <c r="V6" i="41"/>
  <c r="U6" i="41"/>
  <c r="T6" i="41"/>
  <c r="S6" i="41"/>
  <c r="R6" i="41"/>
  <c r="Z5" i="41"/>
  <c r="Y5" i="41"/>
  <c r="X5" i="41"/>
  <c r="W5" i="41"/>
  <c r="V5" i="41"/>
  <c r="U5" i="41"/>
  <c r="T5" i="41"/>
  <c r="S5" i="41"/>
  <c r="R5" i="41"/>
  <c r="Z4" i="41"/>
  <c r="Y4" i="41"/>
  <c r="X4" i="41"/>
  <c r="W4" i="41"/>
  <c r="V4" i="41"/>
  <c r="U4" i="41"/>
  <c r="T4" i="41"/>
  <c r="S4" i="41"/>
  <c r="R4" i="41"/>
  <c r="Z3" i="41"/>
  <c r="Y3" i="41"/>
  <c r="X3" i="41"/>
  <c r="W3" i="41"/>
  <c r="V3" i="41"/>
  <c r="U3" i="41"/>
  <c r="T3" i="41"/>
  <c r="S3" i="41"/>
  <c r="R3" i="41"/>
  <c r="Z2" i="41"/>
  <c r="Y2" i="41"/>
  <c r="X2" i="41"/>
  <c r="W2" i="41"/>
  <c r="V2" i="41"/>
  <c r="U2" i="41"/>
  <c r="T2" i="41"/>
  <c r="S2" i="41"/>
  <c r="R2" i="41"/>
  <c r="I12" i="40"/>
  <c r="B12" i="40"/>
  <c r="R6" i="40"/>
  <c r="S6" i="40"/>
  <c r="T6" i="40"/>
  <c r="U6" i="40"/>
  <c r="V6" i="40"/>
  <c r="W6" i="40"/>
  <c r="X6" i="40"/>
  <c r="Y6" i="40"/>
  <c r="Z6" i="40"/>
  <c r="B34" i="40"/>
  <c r="C34" i="40"/>
  <c r="D34" i="40"/>
  <c r="E48" i="40" s="1"/>
  <c r="E34" i="40"/>
  <c r="F34" i="40"/>
  <c r="G48" i="40" s="1"/>
  <c r="G34" i="40"/>
  <c r="H34" i="40"/>
  <c r="I48" i="40" s="1"/>
  <c r="I34" i="40"/>
  <c r="J34" i="40"/>
  <c r="K34" i="40"/>
  <c r="L48" i="40" s="1"/>
  <c r="L34" i="40"/>
  <c r="M34" i="40"/>
  <c r="N48" i="40" s="1"/>
  <c r="N34" i="40"/>
  <c r="O34" i="40"/>
  <c r="P48" i="40" s="1"/>
  <c r="P33" i="40"/>
  <c r="O33" i="40"/>
  <c r="N33" i="40"/>
  <c r="Y19" i="40" s="1"/>
  <c r="M33" i="40"/>
  <c r="L33" i="40"/>
  <c r="X19" i="40" s="1"/>
  <c r="K33" i="40"/>
  <c r="J33" i="40"/>
  <c r="W19" i="40" s="1"/>
  <c r="I33" i="40"/>
  <c r="H33" i="40"/>
  <c r="G33" i="40"/>
  <c r="U19" i="40" s="1"/>
  <c r="F33" i="40"/>
  <c r="E33" i="40"/>
  <c r="T19" i="40" s="1"/>
  <c r="D33" i="40"/>
  <c r="C33" i="40"/>
  <c r="S19" i="40" s="1"/>
  <c r="B33" i="40"/>
  <c r="P32" i="40"/>
  <c r="O32" i="40"/>
  <c r="N32" i="40"/>
  <c r="M32" i="40"/>
  <c r="L32" i="40"/>
  <c r="K32" i="40"/>
  <c r="J32" i="40"/>
  <c r="W18" i="40" s="1"/>
  <c r="I32" i="40"/>
  <c r="H32" i="40"/>
  <c r="G32" i="40"/>
  <c r="U18" i="40" s="1"/>
  <c r="F32" i="40"/>
  <c r="E32" i="40"/>
  <c r="T18" i="40" s="1"/>
  <c r="D32" i="40"/>
  <c r="C32" i="40"/>
  <c r="S18" i="40" s="1"/>
  <c r="B32" i="40"/>
  <c r="P31" i="40"/>
  <c r="O31" i="40"/>
  <c r="N31" i="40"/>
  <c r="Y17" i="40" s="1"/>
  <c r="M31" i="40"/>
  <c r="L31" i="40"/>
  <c r="X17" i="40" s="1"/>
  <c r="K31" i="40"/>
  <c r="J31" i="40"/>
  <c r="W17" i="40" s="1"/>
  <c r="I31" i="40"/>
  <c r="H31" i="40"/>
  <c r="G31" i="40"/>
  <c r="U17" i="40" s="1"/>
  <c r="F31" i="40"/>
  <c r="E31" i="40"/>
  <c r="T17" i="40" s="1"/>
  <c r="D31" i="40"/>
  <c r="C31" i="40"/>
  <c r="S17" i="40" s="1"/>
  <c r="B31" i="40"/>
  <c r="P30" i="40"/>
  <c r="O30" i="40"/>
  <c r="N30" i="40"/>
  <c r="Y16" i="40" s="1"/>
  <c r="M30" i="40"/>
  <c r="L30" i="40"/>
  <c r="X16" i="40" s="1"/>
  <c r="K30" i="40"/>
  <c r="J30" i="40"/>
  <c r="W16" i="40" s="1"/>
  <c r="I30" i="40"/>
  <c r="H30" i="40"/>
  <c r="G30" i="40"/>
  <c r="U16" i="40" s="1"/>
  <c r="F30" i="40"/>
  <c r="E30" i="40"/>
  <c r="T16" i="40" s="1"/>
  <c r="D30" i="40"/>
  <c r="C30" i="40"/>
  <c r="S16" i="40" s="1"/>
  <c r="B30" i="40"/>
  <c r="Y18" i="40"/>
  <c r="X18" i="40"/>
  <c r="AA17" i="40"/>
  <c r="I11" i="40"/>
  <c r="D11" i="40"/>
  <c r="B11" i="40"/>
  <c r="I10" i="40"/>
  <c r="D10" i="40"/>
  <c r="B10" i="40"/>
  <c r="I9" i="40"/>
  <c r="D9" i="40"/>
  <c r="B9" i="40"/>
  <c r="I8" i="40"/>
  <c r="D8" i="40"/>
  <c r="B8" i="40"/>
  <c r="Z5" i="40"/>
  <c r="Y5" i="40"/>
  <c r="X5" i="40"/>
  <c r="W5" i="40"/>
  <c r="V5" i="40"/>
  <c r="U5" i="40"/>
  <c r="T5" i="40"/>
  <c r="S5" i="40"/>
  <c r="R5" i="40"/>
  <c r="Z4" i="40"/>
  <c r="Y4" i="40"/>
  <c r="X4" i="40"/>
  <c r="W4" i="40"/>
  <c r="V4" i="40"/>
  <c r="U4" i="40"/>
  <c r="T4" i="40"/>
  <c r="S4" i="40"/>
  <c r="R4" i="40"/>
  <c r="Z3" i="40"/>
  <c r="Y3" i="40"/>
  <c r="X3" i="40"/>
  <c r="W3" i="40"/>
  <c r="V3" i="40"/>
  <c r="U3" i="40"/>
  <c r="T3" i="40"/>
  <c r="S3" i="40"/>
  <c r="R3" i="40"/>
  <c r="Z2" i="40"/>
  <c r="Y2" i="40"/>
  <c r="X2" i="40"/>
  <c r="W2" i="40"/>
  <c r="V2" i="40"/>
  <c r="U2" i="40"/>
  <c r="T2" i="40"/>
  <c r="S2" i="40"/>
  <c r="R2" i="40"/>
  <c r="AE22" i="35"/>
  <c r="AF22" i="35"/>
  <c r="AG22" i="35"/>
  <c r="AH22" i="35"/>
  <c r="AI22" i="35"/>
  <c r="AJ22" i="35"/>
  <c r="AK22" i="35"/>
  <c r="AL22" i="35"/>
  <c r="AM22" i="35"/>
  <c r="AN22" i="35"/>
  <c r="AO22" i="35"/>
  <c r="AP22" i="35"/>
  <c r="AQ22" i="35"/>
  <c r="AR22" i="35"/>
  <c r="AS22" i="35"/>
  <c r="AT22" i="35"/>
  <c r="AU22" i="35"/>
  <c r="AV22" i="35"/>
  <c r="AW22" i="35"/>
  <c r="AX22" i="35"/>
  <c r="AY22" i="35"/>
  <c r="AZ22" i="35"/>
  <c r="BA22" i="35"/>
  <c r="BB22" i="35"/>
  <c r="BC22" i="35"/>
  <c r="BD22" i="35"/>
  <c r="BE22" i="35"/>
  <c r="BF22" i="35"/>
  <c r="BG22" i="35"/>
  <c r="BH22" i="35"/>
  <c r="BI22" i="35"/>
  <c r="BJ22" i="35"/>
  <c r="BK22" i="35"/>
  <c r="BL22" i="35"/>
  <c r="BM22" i="35"/>
  <c r="BN22" i="35"/>
  <c r="BO22" i="35"/>
  <c r="BP22" i="35"/>
  <c r="BQ22" i="35"/>
  <c r="BR22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BQ21" i="35"/>
  <c r="BR21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AQ20" i="35"/>
  <c r="AR20" i="35"/>
  <c r="AS20" i="35"/>
  <c r="AT20" i="35"/>
  <c r="AU20" i="35"/>
  <c r="AV20" i="35"/>
  <c r="AW20" i="35"/>
  <c r="AX20" i="35"/>
  <c r="AY20" i="35"/>
  <c r="AZ20" i="35"/>
  <c r="BA20" i="35"/>
  <c r="BB20" i="35"/>
  <c r="BC20" i="35"/>
  <c r="BD20" i="35"/>
  <c r="BE20" i="35"/>
  <c r="BF20" i="35"/>
  <c r="BG20" i="35"/>
  <c r="BH20" i="35"/>
  <c r="BI20" i="35"/>
  <c r="BJ20" i="35"/>
  <c r="BK20" i="35"/>
  <c r="BL20" i="35"/>
  <c r="BM20" i="35"/>
  <c r="BN20" i="35"/>
  <c r="BO20" i="35"/>
  <c r="BP20" i="35"/>
  <c r="BQ20" i="35"/>
  <c r="BR20" i="35"/>
  <c r="AE19" i="35"/>
  <c r="AF19" i="35"/>
  <c r="AG19" i="35"/>
  <c r="AH19" i="35"/>
  <c r="AI19" i="35"/>
  <c r="AJ19" i="35"/>
  <c r="AK19" i="35"/>
  <c r="AL19" i="35"/>
  <c r="AM19" i="35"/>
  <c r="AN19" i="35"/>
  <c r="AO19" i="35"/>
  <c r="AP19" i="35"/>
  <c r="AQ19" i="35"/>
  <c r="AR19" i="35"/>
  <c r="AS19" i="35"/>
  <c r="AT19" i="35"/>
  <c r="AU19" i="35"/>
  <c r="AV19" i="35"/>
  <c r="AW19" i="35"/>
  <c r="AX19" i="35"/>
  <c r="AY19" i="35"/>
  <c r="AZ19" i="35"/>
  <c r="BA19" i="35"/>
  <c r="BB19" i="35"/>
  <c r="BC19" i="35"/>
  <c r="BD19" i="35"/>
  <c r="BE19" i="35"/>
  <c r="BF19" i="35"/>
  <c r="BG19" i="35"/>
  <c r="BH19" i="35"/>
  <c r="BI19" i="35"/>
  <c r="BJ19" i="35"/>
  <c r="BK19" i="35"/>
  <c r="BL19" i="35"/>
  <c r="BM19" i="35"/>
  <c r="BN19" i="35"/>
  <c r="BO19" i="35"/>
  <c r="BP19" i="35"/>
  <c r="BQ19" i="35"/>
  <c r="BR19" i="35"/>
  <c r="AE18" i="35"/>
  <c r="AF18" i="35"/>
  <c r="AG18" i="35"/>
  <c r="AH18" i="35"/>
  <c r="AI18" i="35"/>
  <c r="AJ18" i="35"/>
  <c r="AK18" i="35"/>
  <c r="AL18" i="35"/>
  <c r="AM18" i="35"/>
  <c r="AN18" i="35"/>
  <c r="AO18" i="35"/>
  <c r="AP18" i="35"/>
  <c r="AQ18" i="35"/>
  <c r="AR18" i="35"/>
  <c r="AS18" i="35"/>
  <c r="AT18" i="35"/>
  <c r="AU18" i="35"/>
  <c r="AV18" i="35"/>
  <c r="AW18" i="35"/>
  <c r="AX18" i="35"/>
  <c r="AY18" i="35"/>
  <c r="AZ18" i="35"/>
  <c r="BA18" i="35"/>
  <c r="BB18" i="35"/>
  <c r="BC18" i="35"/>
  <c r="BD18" i="35"/>
  <c r="BE18" i="35"/>
  <c r="BF18" i="35"/>
  <c r="BG18" i="35"/>
  <c r="BH18" i="35"/>
  <c r="BI18" i="35"/>
  <c r="BJ18" i="35"/>
  <c r="BK18" i="35"/>
  <c r="BL18" i="35"/>
  <c r="BM18" i="35"/>
  <c r="BN18" i="35"/>
  <c r="BO18" i="35"/>
  <c r="BP18" i="35"/>
  <c r="BQ18" i="35"/>
  <c r="BR18" i="35"/>
  <c r="AD19" i="35"/>
  <c r="AD20" i="35"/>
  <c r="AD21" i="35"/>
  <c r="AD22" i="35"/>
  <c r="AK17" i="35"/>
  <c r="AL17" i="35"/>
  <c r="AM17" i="35"/>
  <c r="AN17" i="35"/>
  <c r="AO17" i="35"/>
  <c r="AP17" i="35"/>
  <c r="AQ17" i="35"/>
  <c r="AR17" i="35"/>
  <c r="AS17" i="35"/>
  <c r="AT17" i="35"/>
  <c r="AU17" i="35"/>
  <c r="AV17" i="35"/>
  <c r="AW17" i="35"/>
  <c r="AX17" i="35"/>
  <c r="AY17" i="35"/>
  <c r="AZ17" i="35"/>
  <c r="BA17" i="35"/>
  <c r="BB17" i="35"/>
  <c r="BC17" i="35"/>
  <c r="BD17" i="35"/>
  <c r="BE17" i="35"/>
  <c r="BF17" i="35"/>
  <c r="BG17" i="35"/>
  <c r="BH17" i="35"/>
  <c r="BI17" i="35"/>
  <c r="BJ17" i="35"/>
  <c r="BK17" i="35"/>
  <c r="BL17" i="35"/>
  <c r="BM17" i="35"/>
  <c r="BN17" i="35"/>
  <c r="BO17" i="35"/>
  <c r="BP17" i="35"/>
  <c r="BQ17" i="35"/>
  <c r="BR17" i="35"/>
  <c r="AE17" i="35"/>
  <c r="AF17" i="35"/>
  <c r="AG17" i="35"/>
  <c r="AH17" i="35"/>
  <c r="AI17" i="35"/>
  <c r="AJ17" i="35"/>
  <c r="AA17" i="35"/>
  <c r="D9" i="35"/>
  <c r="D10" i="35"/>
  <c r="D11" i="35"/>
  <c r="D8" i="35"/>
  <c r="AD17" i="35"/>
  <c r="AD18" i="35"/>
  <c r="AD15" i="35"/>
  <c r="R3" i="35"/>
  <c r="S3" i="35"/>
  <c r="T3" i="35"/>
  <c r="U3" i="35"/>
  <c r="V3" i="35"/>
  <c r="W3" i="35"/>
  <c r="X3" i="35"/>
  <c r="Y3" i="35"/>
  <c r="Z3" i="35"/>
  <c r="R4" i="35"/>
  <c r="S4" i="35"/>
  <c r="T4" i="35"/>
  <c r="U4" i="35"/>
  <c r="V4" i="35"/>
  <c r="W4" i="35"/>
  <c r="X4" i="35"/>
  <c r="Y4" i="35"/>
  <c r="Z4" i="35"/>
  <c r="R5" i="35"/>
  <c r="S5" i="35"/>
  <c r="T5" i="35"/>
  <c r="U5" i="35"/>
  <c r="V5" i="35"/>
  <c r="W5" i="35"/>
  <c r="X5" i="35"/>
  <c r="Y5" i="35"/>
  <c r="Z5" i="35"/>
  <c r="AO15" i="35"/>
  <c r="K97" i="35"/>
  <c r="K96" i="35"/>
  <c r="J96" i="35"/>
  <c r="K95" i="35"/>
  <c r="J95" i="35"/>
  <c r="I95" i="35"/>
  <c r="K94" i="35"/>
  <c r="J94" i="35"/>
  <c r="I94" i="35"/>
  <c r="K93" i="35"/>
  <c r="J93" i="35"/>
  <c r="I93" i="35"/>
  <c r="H93" i="35"/>
  <c r="G93" i="35"/>
  <c r="K92" i="35"/>
  <c r="J92" i="35"/>
  <c r="I92" i="35"/>
  <c r="H92" i="35"/>
  <c r="G92" i="35"/>
  <c r="F92" i="35"/>
  <c r="K91" i="35"/>
  <c r="J91" i="35"/>
  <c r="I91" i="35"/>
  <c r="H91" i="35"/>
  <c r="G91" i="35"/>
  <c r="F91" i="35"/>
  <c r="E91" i="35"/>
  <c r="K90" i="35"/>
  <c r="J90" i="35"/>
  <c r="I90" i="35"/>
  <c r="H90" i="35"/>
  <c r="G90" i="35"/>
  <c r="F90" i="35"/>
  <c r="E90" i="35"/>
  <c r="P33" i="35"/>
  <c r="A36" i="35" s="1"/>
  <c r="O33" i="35"/>
  <c r="P47" i="35" s="1"/>
  <c r="N33" i="35"/>
  <c r="M33" i="35"/>
  <c r="N47" i="35" s="1"/>
  <c r="L33" i="35"/>
  <c r="K33" i="35"/>
  <c r="L47" i="35" s="1"/>
  <c r="J33" i="35"/>
  <c r="I33" i="35"/>
  <c r="H33" i="35"/>
  <c r="I47" i="35" s="1"/>
  <c r="G33" i="35"/>
  <c r="F33" i="35"/>
  <c r="G47" i="35" s="1"/>
  <c r="E33" i="35"/>
  <c r="D33" i="35"/>
  <c r="E47" i="35" s="1"/>
  <c r="C33" i="35"/>
  <c r="B33" i="35"/>
  <c r="P32" i="35"/>
  <c r="O32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B32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P30" i="35"/>
  <c r="O30" i="35"/>
  <c r="N30" i="35"/>
  <c r="Y16" i="35" s="1"/>
  <c r="M30" i="35"/>
  <c r="L30" i="35"/>
  <c r="X16" i="35" s="1"/>
  <c r="K30" i="35"/>
  <c r="J30" i="35"/>
  <c r="W16" i="35" s="1"/>
  <c r="I30" i="35"/>
  <c r="H30" i="35"/>
  <c r="G30" i="35"/>
  <c r="U16" i="35" s="1"/>
  <c r="F30" i="35"/>
  <c r="E30" i="35"/>
  <c r="T16" i="35" s="1"/>
  <c r="D30" i="35"/>
  <c r="C30" i="35"/>
  <c r="S16" i="35" s="1"/>
  <c r="B30" i="35"/>
  <c r="BR15" i="35"/>
  <c r="BQ15" i="35"/>
  <c r="BP15" i="35"/>
  <c r="BO15" i="35"/>
  <c r="BN15" i="35"/>
  <c r="BM15" i="35"/>
  <c r="BL15" i="35"/>
  <c r="BK15" i="35"/>
  <c r="BJ15" i="35"/>
  <c r="BI15" i="35"/>
  <c r="BH15" i="35"/>
  <c r="BG15" i="35"/>
  <c r="BF15" i="35"/>
  <c r="BE15" i="35"/>
  <c r="BD15" i="35"/>
  <c r="BC15" i="35"/>
  <c r="BB15" i="35"/>
  <c r="BA15" i="35"/>
  <c r="AZ15" i="35"/>
  <c r="AY15" i="35"/>
  <c r="AX15" i="35"/>
  <c r="AW15" i="35"/>
  <c r="AV15" i="35"/>
  <c r="AU15" i="35"/>
  <c r="AT15" i="35"/>
  <c r="AS15" i="35"/>
  <c r="AR15" i="35"/>
  <c r="AQ15" i="35"/>
  <c r="AP15" i="35"/>
  <c r="AN15" i="35"/>
  <c r="AM15" i="35"/>
  <c r="AL15" i="35"/>
  <c r="AK15" i="35"/>
  <c r="AJ15" i="35"/>
  <c r="AI15" i="35"/>
  <c r="AH15" i="35"/>
  <c r="AG15" i="35"/>
  <c r="AF15" i="35"/>
  <c r="AE15" i="35"/>
  <c r="I11" i="35"/>
  <c r="B11" i="35"/>
  <c r="I10" i="35"/>
  <c r="B10" i="35"/>
  <c r="I9" i="35"/>
  <c r="B9" i="35"/>
  <c r="I8" i="35"/>
  <c r="B8" i="35"/>
  <c r="K6" i="35"/>
  <c r="Z2" i="35"/>
  <c r="Y2" i="35"/>
  <c r="X2" i="35"/>
  <c r="W2" i="35"/>
  <c r="V2" i="35"/>
  <c r="U2" i="35"/>
  <c r="T2" i="35"/>
  <c r="S2" i="35"/>
  <c r="R2" i="35"/>
  <c r="K108" i="34"/>
  <c r="J107" i="34"/>
  <c r="K107" i="34"/>
  <c r="J106" i="34"/>
  <c r="K106" i="34"/>
  <c r="H105" i="34"/>
  <c r="I105" i="34"/>
  <c r="J105" i="34"/>
  <c r="K105" i="34"/>
  <c r="G104" i="34"/>
  <c r="H104" i="34"/>
  <c r="I104" i="34"/>
  <c r="J104" i="34"/>
  <c r="K104" i="34"/>
  <c r="F103" i="34"/>
  <c r="G103" i="34"/>
  <c r="H103" i="34"/>
  <c r="I103" i="34"/>
  <c r="J103" i="34"/>
  <c r="K103" i="34"/>
  <c r="F102" i="34"/>
  <c r="G102" i="34"/>
  <c r="H102" i="34"/>
  <c r="I102" i="34"/>
  <c r="J102" i="34"/>
  <c r="K102" i="34"/>
  <c r="K96" i="34"/>
  <c r="J95" i="34"/>
  <c r="K95" i="34"/>
  <c r="J94" i="34"/>
  <c r="K94" i="34"/>
  <c r="H93" i="34"/>
  <c r="I93" i="34"/>
  <c r="J93" i="34"/>
  <c r="K93" i="34"/>
  <c r="G92" i="34"/>
  <c r="H92" i="34"/>
  <c r="I92" i="34"/>
  <c r="J92" i="34"/>
  <c r="K92" i="34"/>
  <c r="F91" i="34"/>
  <c r="G91" i="34"/>
  <c r="H91" i="34"/>
  <c r="I91" i="34"/>
  <c r="J91" i="34"/>
  <c r="K91" i="34"/>
  <c r="F90" i="34"/>
  <c r="G90" i="34"/>
  <c r="H90" i="34"/>
  <c r="I90" i="34"/>
  <c r="J90" i="34"/>
  <c r="K90" i="34"/>
  <c r="K109" i="34"/>
  <c r="J108" i="34"/>
  <c r="I107" i="34"/>
  <c r="I106" i="34"/>
  <c r="G105" i="34"/>
  <c r="F104" i="34"/>
  <c r="E103" i="34"/>
  <c r="E102" i="34"/>
  <c r="K97" i="34"/>
  <c r="J96" i="34"/>
  <c r="I95" i="34"/>
  <c r="I94" i="34"/>
  <c r="G93" i="34"/>
  <c r="F92" i="34"/>
  <c r="E91" i="34"/>
  <c r="P32" i="34"/>
  <c r="B35" i="34" s="1"/>
  <c r="O32" i="34"/>
  <c r="P46" i="34" s="1"/>
  <c r="N32" i="34"/>
  <c r="M32" i="34"/>
  <c r="N46" i="34" s="1"/>
  <c r="L32" i="34"/>
  <c r="K32" i="34"/>
  <c r="L46" i="34" s="1"/>
  <c r="J32" i="34"/>
  <c r="I32" i="34"/>
  <c r="H32" i="34"/>
  <c r="I46" i="34" s="1"/>
  <c r="G32" i="34"/>
  <c r="F32" i="34"/>
  <c r="G46" i="34" s="1"/>
  <c r="E32" i="34"/>
  <c r="D32" i="34"/>
  <c r="E46" i="34" s="1"/>
  <c r="C32" i="34"/>
  <c r="B32" i="34"/>
  <c r="P31" i="34"/>
  <c r="O31" i="34"/>
  <c r="N31" i="34"/>
  <c r="Y17" i="34" s="1"/>
  <c r="M31" i="34"/>
  <c r="L31" i="34"/>
  <c r="X17" i="34" s="1"/>
  <c r="K31" i="34"/>
  <c r="J31" i="34"/>
  <c r="W17" i="34" s="1"/>
  <c r="I31" i="34"/>
  <c r="H31" i="34"/>
  <c r="G31" i="34"/>
  <c r="U17" i="34" s="1"/>
  <c r="F31" i="34"/>
  <c r="E31" i="34"/>
  <c r="T17" i="34" s="1"/>
  <c r="D31" i="34"/>
  <c r="C31" i="34"/>
  <c r="S17" i="34" s="1"/>
  <c r="B31" i="34"/>
  <c r="P30" i="34"/>
  <c r="O30" i="34"/>
  <c r="N30" i="34"/>
  <c r="Y16" i="34" s="1"/>
  <c r="M30" i="34"/>
  <c r="L30" i="34"/>
  <c r="X16" i="34" s="1"/>
  <c r="K30" i="34"/>
  <c r="J30" i="34"/>
  <c r="W16" i="34" s="1"/>
  <c r="I30" i="34"/>
  <c r="H30" i="34"/>
  <c r="G30" i="34"/>
  <c r="U16" i="34" s="1"/>
  <c r="F30" i="34"/>
  <c r="E30" i="34"/>
  <c r="T16" i="34" s="1"/>
  <c r="D30" i="34"/>
  <c r="C30" i="34"/>
  <c r="S16" i="34" s="1"/>
  <c r="B30" i="34"/>
  <c r="Z18" i="34"/>
  <c r="AA17" i="34"/>
  <c r="I10" i="34"/>
  <c r="B10" i="34"/>
  <c r="I9" i="34"/>
  <c r="B9" i="34"/>
  <c r="I8" i="34"/>
  <c r="B8" i="34"/>
  <c r="K6" i="34"/>
  <c r="Z4" i="34"/>
  <c r="Y4" i="34"/>
  <c r="X4" i="34"/>
  <c r="W4" i="34"/>
  <c r="V4" i="34"/>
  <c r="U4" i="34"/>
  <c r="T4" i="34"/>
  <c r="S4" i="34"/>
  <c r="R4" i="34"/>
  <c r="Z3" i="34"/>
  <c r="Y3" i="34"/>
  <c r="X3" i="34"/>
  <c r="W3" i="34"/>
  <c r="V3" i="34"/>
  <c r="U3" i="34"/>
  <c r="T3" i="34"/>
  <c r="S3" i="34"/>
  <c r="R3" i="34"/>
  <c r="Z2" i="34"/>
  <c r="Y2" i="34"/>
  <c r="X2" i="34"/>
  <c r="W2" i="34"/>
  <c r="V2" i="34"/>
  <c r="U2" i="34"/>
  <c r="T2" i="34"/>
  <c r="S2" i="34"/>
  <c r="R2" i="34"/>
  <c r="J44" i="41" l="1"/>
  <c r="V16" i="41"/>
  <c r="S178" i="41"/>
  <c r="Z21" i="41"/>
  <c r="P60" i="41"/>
  <c r="Z17" i="41"/>
  <c r="AA89" i="41" s="1"/>
  <c r="P59" i="41"/>
  <c r="Z16" i="41"/>
  <c r="U175" i="41" s="1"/>
  <c r="P60" i="40"/>
  <c r="Z17" i="40"/>
  <c r="Z20" i="40"/>
  <c r="Z19" i="35"/>
  <c r="D73" i="42"/>
  <c r="P59" i="40"/>
  <c r="Z16" i="40"/>
  <c r="P60" i="34"/>
  <c r="Z17" i="34"/>
  <c r="O46" i="34"/>
  <c r="Y18" i="34"/>
  <c r="H46" i="34"/>
  <c r="U18" i="34"/>
  <c r="F46" i="34"/>
  <c r="T18" i="34"/>
  <c r="D46" i="34"/>
  <c r="S18" i="34"/>
  <c r="C46" i="34"/>
  <c r="R18" i="34"/>
  <c r="C45" i="34"/>
  <c r="R17" i="34"/>
  <c r="K46" i="34"/>
  <c r="W18" i="34"/>
  <c r="O46" i="42"/>
  <c r="Y18" i="42"/>
  <c r="X18" i="42"/>
  <c r="M46" i="42"/>
  <c r="K46" i="42"/>
  <c r="W18" i="42"/>
  <c r="V18" i="42"/>
  <c r="J46" i="42"/>
  <c r="H46" i="42"/>
  <c r="U18" i="42"/>
  <c r="F46" i="42"/>
  <c r="T18" i="42"/>
  <c r="S18" i="42"/>
  <c r="D46" i="42"/>
  <c r="C46" i="42"/>
  <c r="R18" i="42"/>
  <c r="P60" i="42"/>
  <c r="Z17" i="42"/>
  <c r="O60" i="42"/>
  <c r="P45" i="42"/>
  <c r="O45" i="42"/>
  <c r="Y17" i="42"/>
  <c r="N60" i="42"/>
  <c r="M60" i="42"/>
  <c r="N45" i="42"/>
  <c r="X17" i="42"/>
  <c r="L60" i="42"/>
  <c r="M45" i="42"/>
  <c r="L45" i="42"/>
  <c r="K60" i="42"/>
  <c r="J60" i="42"/>
  <c r="K45" i="42"/>
  <c r="I60" i="42"/>
  <c r="W17" i="42"/>
  <c r="J45" i="42"/>
  <c r="V17" i="42"/>
  <c r="H60" i="42"/>
  <c r="I45" i="42"/>
  <c r="H45" i="42"/>
  <c r="G60" i="42"/>
  <c r="U17" i="42"/>
  <c r="F60" i="42"/>
  <c r="G45" i="42"/>
  <c r="E60" i="42"/>
  <c r="F45" i="42"/>
  <c r="T17" i="42"/>
  <c r="D60" i="42"/>
  <c r="E45" i="42"/>
  <c r="C60" i="42"/>
  <c r="D45" i="42"/>
  <c r="B60" i="42"/>
  <c r="S17" i="42"/>
  <c r="R17" i="42"/>
  <c r="U24" i="42" s="1"/>
  <c r="C45" i="42"/>
  <c r="P59" i="42"/>
  <c r="Z16" i="42"/>
  <c r="O59" i="42"/>
  <c r="P44" i="42"/>
  <c r="Y16" i="42"/>
  <c r="N59" i="42"/>
  <c r="O44" i="42"/>
  <c r="M59" i="42"/>
  <c r="N44" i="42"/>
  <c r="L59" i="42"/>
  <c r="M44" i="42"/>
  <c r="X16" i="42"/>
  <c r="K59" i="42"/>
  <c r="L44" i="42"/>
  <c r="W16" i="42"/>
  <c r="J59" i="42"/>
  <c r="I59" i="42"/>
  <c r="K44" i="42"/>
  <c r="V16" i="42"/>
  <c r="J44" i="42"/>
  <c r="I44" i="42"/>
  <c r="H59" i="42"/>
  <c r="H44" i="42"/>
  <c r="U16" i="42"/>
  <c r="G59" i="42"/>
  <c r="F59" i="42"/>
  <c r="G44" i="42"/>
  <c r="F44" i="42"/>
  <c r="T16" i="42"/>
  <c r="U62" i="42" s="1"/>
  <c r="E59" i="42"/>
  <c r="D59" i="42"/>
  <c r="E44" i="42"/>
  <c r="S16" i="42"/>
  <c r="D44" i="42"/>
  <c r="C59" i="42"/>
  <c r="C44" i="42"/>
  <c r="R16" i="42"/>
  <c r="C45" i="41"/>
  <c r="R17" i="41"/>
  <c r="C44" i="41"/>
  <c r="R16" i="41"/>
  <c r="J45" i="41"/>
  <c r="V17" i="41"/>
  <c r="AA28" i="41" s="1"/>
  <c r="C46" i="41"/>
  <c r="R18" i="41"/>
  <c r="F46" i="41"/>
  <c r="E61" i="41"/>
  <c r="E46" i="41"/>
  <c r="D61" i="41"/>
  <c r="D46" i="41"/>
  <c r="B61" i="41"/>
  <c r="C61" i="41"/>
  <c r="P45" i="41"/>
  <c r="O60" i="41"/>
  <c r="O45" i="41"/>
  <c r="N60" i="41"/>
  <c r="N45" i="41"/>
  <c r="M60" i="41"/>
  <c r="M45" i="41"/>
  <c r="L60" i="41"/>
  <c r="L45" i="41"/>
  <c r="K60" i="41"/>
  <c r="K45" i="41"/>
  <c r="I60" i="41"/>
  <c r="J60" i="41"/>
  <c r="I45" i="41"/>
  <c r="H60" i="41"/>
  <c r="H45" i="41"/>
  <c r="G60" i="41"/>
  <c r="G45" i="41"/>
  <c r="F60" i="41"/>
  <c r="F45" i="41"/>
  <c r="E60" i="41"/>
  <c r="E45" i="41"/>
  <c r="D60" i="41"/>
  <c r="D45" i="41"/>
  <c r="B60" i="41"/>
  <c r="C60" i="41"/>
  <c r="O200" i="41"/>
  <c r="O199" i="41"/>
  <c r="U193" i="41"/>
  <c r="U192" i="41"/>
  <c r="U189" i="41"/>
  <c r="U186" i="41"/>
  <c r="U191" i="41"/>
  <c r="U190" i="41"/>
  <c r="U188" i="41"/>
  <c r="U187" i="41"/>
  <c r="T192" i="41"/>
  <c r="T191" i="41"/>
  <c r="T186" i="41"/>
  <c r="T187" i="41"/>
  <c r="T188" i="41"/>
  <c r="T189" i="41"/>
  <c r="T190" i="41"/>
  <c r="S186" i="41"/>
  <c r="S187" i="41"/>
  <c r="S188" i="41"/>
  <c r="S191" i="41"/>
  <c r="S189" i="41"/>
  <c r="S190" i="41"/>
  <c r="R186" i="41"/>
  <c r="R187" i="41"/>
  <c r="R188" i="41"/>
  <c r="R189" i="41"/>
  <c r="Q189" i="41"/>
  <c r="P187" i="41"/>
  <c r="P188" i="41"/>
  <c r="P186" i="41"/>
  <c r="O186" i="41"/>
  <c r="O187" i="41"/>
  <c r="U179" i="41"/>
  <c r="C49" i="41"/>
  <c r="R21" i="41"/>
  <c r="S21" i="41"/>
  <c r="D49" i="41"/>
  <c r="F49" i="41"/>
  <c r="T21" i="41"/>
  <c r="U21" i="41"/>
  <c r="H49" i="41"/>
  <c r="V21" i="41"/>
  <c r="J49" i="41"/>
  <c r="W21" i="41"/>
  <c r="K49" i="41"/>
  <c r="X21" i="41"/>
  <c r="M49" i="41"/>
  <c r="O49" i="41"/>
  <c r="Y21" i="41"/>
  <c r="P63" i="41"/>
  <c r="Z20" i="41"/>
  <c r="P48" i="41"/>
  <c r="O63" i="41"/>
  <c r="O48" i="41"/>
  <c r="N63" i="41"/>
  <c r="Y20" i="41"/>
  <c r="N48" i="41"/>
  <c r="M63" i="41"/>
  <c r="M48" i="41"/>
  <c r="L63" i="41"/>
  <c r="X20" i="41"/>
  <c r="K63" i="41"/>
  <c r="L48" i="41"/>
  <c r="J63" i="41"/>
  <c r="K48" i="41"/>
  <c r="W20" i="41"/>
  <c r="I63" i="41"/>
  <c r="V20" i="41"/>
  <c r="J79" i="41" s="1"/>
  <c r="J48" i="41"/>
  <c r="H63" i="41"/>
  <c r="I48" i="41"/>
  <c r="U20" i="41"/>
  <c r="G63" i="41"/>
  <c r="H48" i="41"/>
  <c r="F63" i="41"/>
  <c r="G48" i="41"/>
  <c r="E63" i="41"/>
  <c r="F48" i="41"/>
  <c r="T20" i="41"/>
  <c r="D63" i="41"/>
  <c r="E48" i="41"/>
  <c r="C63" i="41"/>
  <c r="B63" i="41"/>
  <c r="D48" i="41"/>
  <c r="S20" i="41"/>
  <c r="C48" i="41"/>
  <c r="R20" i="41"/>
  <c r="P62" i="41"/>
  <c r="Z19" i="41"/>
  <c r="P47" i="41"/>
  <c r="O62" i="41"/>
  <c r="O47" i="41"/>
  <c r="N62" i="41"/>
  <c r="Y19" i="41"/>
  <c r="I162" i="41" s="1"/>
  <c r="N47" i="41"/>
  <c r="M62" i="41"/>
  <c r="M47" i="41"/>
  <c r="L62" i="41"/>
  <c r="X19" i="41"/>
  <c r="L47" i="41"/>
  <c r="K62" i="41"/>
  <c r="K47" i="41"/>
  <c r="I62" i="41"/>
  <c r="J62" i="41"/>
  <c r="W19" i="41"/>
  <c r="J47" i="41"/>
  <c r="V19" i="41"/>
  <c r="I47" i="41"/>
  <c r="H62" i="41"/>
  <c r="H47" i="41"/>
  <c r="G62" i="41"/>
  <c r="U19" i="41"/>
  <c r="G47" i="41"/>
  <c r="F62" i="41"/>
  <c r="F47" i="41"/>
  <c r="E62" i="41"/>
  <c r="T19" i="41"/>
  <c r="E47" i="41"/>
  <c r="D62" i="41"/>
  <c r="D47" i="41"/>
  <c r="C62" i="41"/>
  <c r="B62" i="41"/>
  <c r="S19" i="41"/>
  <c r="C47" i="41"/>
  <c r="R19" i="41"/>
  <c r="P61" i="41"/>
  <c r="Z18" i="41"/>
  <c r="P46" i="41"/>
  <c r="O61" i="41"/>
  <c r="O46" i="41"/>
  <c r="N61" i="41"/>
  <c r="Y18" i="41"/>
  <c r="N46" i="41"/>
  <c r="M61" i="41"/>
  <c r="M46" i="41"/>
  <c r="X18" i="41"/>
  <c r="L61" i="41"/>
  <c r="L46" i="41"/>
  <c r="K61" i="41"/>
  <c r="K46" i="41"/>
  <c r="W18" i="41"/>
  <c r="J61" i="41"/>
  <c r="I61" i="41"/>
  <c r="J46" i="41"/>
  <c r="V18" i="41"/>
  <c r="I46" i="41"/>
  <c r="H61" i="41"/>
  <c r="H46" i="41"/>
  <c r="U18" i="41"/>
  <c r="G61" i="41"/>
  <c r="G46" i="41"/>
  <c r="F61" i="41"/>
  <c r="U176" i="41"/>
  <c r="U174" i="41"/>
  <c r="U173" i="41"/>
  <c r="T175" i="41"/>
  <c r="T177" i="41"/>
  <c r="T178" i="41"/>
  <c r="T173" i="41"/>
  <c r="T174" i="41"/>
  <c r="T179" i="41"/>
  <c r="T176" i="41"/>
  <c r="S174" i="41"/>
  <c r="S173" i="41"/>
  <c r="S176" i="41"/>
  <c r="S175" i="41"/>
  <c r="S177" i="41"/>
  <c r="R176" i="41"/>
  <c r="R174" i="41"/>
  <c r="R175" i="41"/>
  <c r="R173" i="41"/>
  <c r="P174" i="41"/>
  <c r="P175" i="41"/>
  <c r="P173" i="41"/>
  <c r="O174" i="41"/>
  <c r="O173" i="41"/>
  <c r="C45" i="40"/>
  <c r="R17" i="40"/>
  <c r="J45" i="40"/>
  <c r="V17" i="40"/>
  <c r="J44" i="40"/>
  <c r="V16" i="40"/>
  <c r="F126" i="40" s="1"/>
  <c r="C47" i="40"/>
  <c r="R19" i="40"/>
  <c r="C46" i="40"/>
  <c r="R18" i="40"/>
  <c r="P62" i="40"/>
  <c r="Z19" i="40"/>
  <c r="P61" i="40"/>
  <c r="Z18" i="40"/>
  <c r="J47" i="40"/>
  <c r="V19" i="40"/>
  <c r="J46" i="40"/>
  <c r="V18" i="40"/>
  <c r="R20" i="40"/>
  <c r="C48" i="40"/>
  <c r="S20" i="40"/>
  <c r="D48" i="40"/>
  <c r="T20" i="40"/>
  <c r="F48" i="40"/>
  <c r="U20" i="40"/>
  <c r="F102" i="40" s="1"/>
  <c r="H48" i="40"/>
  <c r="V20" i="40"/>
  <c r="J48" i="40"/>
  <c r="W20" i="40"/>
  <c r="K48" i="40"/>
  <c r="M48" i="40"/>
  <c r="X20" i="40"/>
  <c r="O48" i="40"/>
  <c r="Y20" i="40"/>
  <c r="P47" i="40"/>
  <c r="O62" i="40"/>
  <c r="O47" i="40"/>
  <c r="N62" i="40"/>
  <c r="N47" i="40"/>
  <c r="M62" i="40"/>
  <c r="M47" i="40"/>
  <c r="L62" i="40"/>
  <c r="L47" i="40"/>
  <c r="K62" i="40"/>
  <c r="K47" i="40"/>
  <c r="J62" i="40"/>
  <c r="I62" i="40"/>
  <c r="I47" i="40"/>
  <c r="H62" i="40"/>
  <c r="H47" i="40"/>
  <c r="G62" i="40"/>
  <c r="G47" i="40"/>
  <c r="F62" i="40"/>
  <c r="F47" i="40"/>
  <c r="E62" i="40"/>
  <c r="E47" i="40"/>
  <c r="D62" i="40"/>
  <c r="D47" i="40"/>
  <c r="C62" i="40"/>
  <c r="B62" i="40"/>
  <c r="C44" i="40"/>
  <c r="R16" i="40"/>
  <c r="F111" i="40"/>
  <c r="J99" i="40"/>
  <c r="F87" i="40"/>
  <c r="F99" i="40"/>
  <c r="G111" i="40"/>
  <c r="H111" i="40"/>
  <c r="G87" i="40"/>
  <c r="I165" i="40"/>
  <c r="I159" i="40"/>
  <c r="I161" i="40"/>
  <c r="I164" i="40"/>
  <c r="I163" i="40"/>
  <c r="I162" i="40"/>
  <c r="I160" i="40"/>
  <c r="H161" i="40"/>
  <c r="H159" i="40"/>
  <c r="H160" i="40"/>
  <c r="H162" i="40"/>
  <c r="H164" i="40"/>
  <c r="H163" i="40"/>
  <c r="G159" i="40"/>
  <c r="G161" i="40"/>
  <c r="G162" i="40"/>
  <c r="G160" i="40"/>
  <c r="E161" i="40"/>
  <c r="E159" i="40"/>
  <c r="E160" i="40"/>
  <c r="D160" i="40"/>
  <c r="D159" i="40"/>
  <c r="I153" i="40"/>
  <c r="I147" i="40"/>
  <c r="I152" i="40"/>
  <c r="I148" i="40"/>
  <c r="I150" i="40"/>
  <c r="I149" i="40"/>
  <c r="I151" i="40"/>
  <c r="H148" i="40"/>
  <c r="H147" i="40"/>
  <c r="H151" i="40"/>
  <c r="H152" i="40"/>
  <c r="H150" i="40"/>
  <c r="H149" i="40"/>
  <c r="G147" i="40"/>
  <c r="G149" i="40"/>
  <c r="G150" i="40"/>
  <c r="G148" i="40"/>
  <c r="E147" i="40"/>
  <c r="E149" i="40"/>
  <c r="E148" i="40"/>
  <c r="D148" i="40"/>
  <c r="D147" i="40"/>
  <c r="J142" i="40"/>
  <c r="J137" i="40"/>
  <c r="I135" i="40"/>
  <c r="I136" i="40"/>
  <c r="I138" i="40"/>
  <c r="I137" i="40"/>
  <c r="I140" i="40"/>
  <c r="I141" i="40"/>
  <c r="I139" i="40"/>
  <c r="H138" i="40"/>
  <c r="H137" i="40"/>
  <c r="H135" i="40"/>
  <c r="H136" i="40"/>
  <c r="H140" i="40"/>
  <c r="H139" i="40"/>
  <c r="G137" i="40"/>
  <c r="G135" i="40"/>
  <c r="G136" i="40"/>
  <c r="G138" i="40"/>
  <c r="E135" i="40"/>
  <c r="E136" i="40"/>
  <c r="E137" i="40"/>
  <c r="D135" i="40"/>
  <c r="D136" i="40"/>
  <c r="I126" i="40"/>
  <c r="I124" i="40"/>
  <c r="I125" i="40"/>
  <c r="I128" i="40"/>
  <c r="I127" i="40"/>
  <c r="I129" i="40"/>
  <c r="I123" i="40"/>
  <c r="H125" i="40"/>
  <c r="H124" i="40"/>
  <c r="H123" i="40"/>
  <c r="H126" i="40"/>
  <c r="H127" i="40"/>
  <c r="H128" i="40"/>
  <c r="G124" i="40"/>
  <c r="G123" i="40"/>
  <c r="G125" i="40"/>
  <c r="G126" i="40"/>
  <c r="E124" i="40"/>
  <c r="E125" i="40"/>
  <c r="E123" i="40"/>
  <c r="D124" i="40"/>
  <c r="D123" i="40"/>
  <c r="P44" i="41"/>
  <c r="O59" i="41"/>
  <c r="O44" i="41"/>
  <c r="N59" i="41"/>
  <c r="M59" i="41"/>
  <c r="N44" i="41"/>
  <c r="L59" i="41"/>
  <c r="M44" i="41"/>
  <c r="L44" i="41"/>
  <c r="K59" i="41"/>
  <c r="I59" i="41"/>
  <c r="J59" i="41"/>
  <c r="K44" i="41"/>
  <c r="H59" i="41"/>
  <c r="I44" i="41"/>
  <c r="G59" i="41"/>
  <c r="H44" i="41"/>
  <c r="F59" i="41"/>
  <c r="G44" i="41"/>
  <c r="E59" i="41"/>
  <c r="F44" i="41"/>
  <c r="D59" i="41"/>
  <c r="E44" i="41"/>
  <c r="C59" i="41"/>
  <c r="B59" i="41"/>
  <c r="D44" i="41"/>
  <c r="U160" i="41"/>
  <c r="U159" i="41"/>
  <c r="Y38" i="41"/>
  <c r="X38" i="41"/>
  <c r="D147" i="41"/>
  <c r="Z38" i="41"/>
  <c r="AA38" i="41"/>
  <c r="W51" i="41"/>
  <c r="AA51" i="41"/>
  <c r="Y51" i="41"/>
  <c r="X51" i="41"/>
  <c r="Z51" i="41"/>
  <c r="V51" i="41"/>
  <c r="D148" i="41"/>
  <c r="W38" i="41"/>
  <c r="V38" i="41"/>
  <c r="W50" i="41"/>
  <c r="X37" i="41"/>
  <c r="W37" i="41"/>
  <c r="V37" i="41"/>
  <c r="Z50" i="41"/>
  <c r="U37" i="41"/>
  <c r="AA37" i="41"/>
  <c r="V50" i="41"/>
  <c r="AA50" i="41"/>
  <c r="X50" i="41"/>
  <c r="U50" i="41"/>
  <c r="Y50" i="41"/>
  <c r="Z37" i="41"/>
  <c r="Y37" i="41"/>
  <c r="J136" i="41"/>
  <c r="AA150" i="41"/>
  <c r="AA93" i="41"/>
  <c r="AA88" i="41"/>
  <c r="AA148" i="41"/>
  <c r="AA147" i="41"/>
  <c r="AA90" i="41"/>
  <c r="J141" i="41"/>
  <c r="AA86" i="41"/>
  <c r="AA151" i="41"/>
  <c r="AA91" i="41"/>
  <c r="Z91" i="41"/>
  <c r="Z92" i="41"/>
  <c r="Z87" i="41"/>
  <c r="Z148" i="41"/>
  <c r="Z88" i="41"/>
  <c r="I137" i="41"/>
  <c r="Z149" i="41"/>
  <c r="Z146" i="41"/>
  <c r="I141" i="41"/>
  <c r="AA31" i="41"/>
  <c r="Z90" i="41"/>
  <c r="Z89" i="41"/>
  <c r="I135" i="41"/>
  <c r="Z147" i="41"/>
  <c r="Z150" i="41"/>
  <c r="Z151" i="41"/>
  <c r="I140" i="41"/>
  <c r="I138" i="41"/>
  <c r="Z152" i="41"/>
  <c r="I136" i="41"/>
  <c r="I139" i="41"/>
  <c r="Z86" i="41"/>
  <c r="Y151" i="41"/>
  <c r="Y150" i="41"/>
  <c r="Y90" i="41"/>
  <c r="H137" i="41"/>
  <c r="Y88" i="41"/>
  <c r="Y147" i="41"/>
  <c r="Y91" i="41"/>
  <c r="H140" i="41"/>
  <c r="AA30" i="41"/>
  <c r="Z30" i="41"/>
  <c r="Y146" i="41"/>
  <c r="H138" i="41"/>
  <c r="H136" i="41"/>
  <c r="Y89" i="41"/>
  <c r="Y86" i="41"/>
  <c r="Y149" i="41"/>
  <c r="H139" i="41"/>
  <c r="H135" i="41"/>
  <c r="Y148" i="41"/>
  <c r="Y87" i="41"/>
  <c r="X149" i="41"/>
  <c r="X148" i="41"/>
  <c r="X146" i="41"/>
  <c r="G135" i="41"/>
  <c r="G137" i="41"/>
  <c r="G138" i="41"/>
  <c r="Z29" i="41"/>
  <c r="X89" i="41"/>
  <c r="X147" i="41"/>
  <c r="X87" i="41"/>
  <c r="X86" i="41"/>
  <c r="G136" i="41"/>
  <c r="X88" i="41"/>
  <c r="Y29" i="41"/>
  <c r="AA29" i="41"/>
  <c r="V87" i="41"/>
  <c r="Z27" i="41"/>
  <c r="Y27" i="41"/>
  <c r="V147" i="41"/>
  <c r="V148" i="41"/>
  <c r="E137" i="41"/>
  <c r="V88" i="41"/>
  <c r="E136" i="41"/>
  <c r="W27" i="41"/>
  <c r="E135" i="41"/>
  <c r="V146" i="41"/>
  <c r="V86" i="41"/>
  <c r="AA27" i="41"/>
  <c r="X27" i="41"/>
  <c r="U86" i="41"/>
  <c r="D136" i="41"/>
  <c r="U147" i="41"/>
  <c r="AA26" i="41"/>
  <c r="U87" i="41"/>
  <c r="D135" i="41"/>
  <c r="U146" i="41"/>
  <c r="V26" i="41"/>
  <c r="Z26" i="41"/>
  <c r="W26" i="41"/>
  <c r="X26" i="41"/>
  <c r="Y26" i="41"/>
  <c r="AA25" i="41"/>
  <c r="Y25" i="41"/>
  <c r="U25" i="41"/>
  <c r="W25" i="41"/>
  <c r="X25" i="41"/>
  <c r="Z25" i="41"/>
  <c r="V25" i="41"/>
  <c r="AA137" i="41"/>
  <c r="AA68" i="41"/>
  <c r="J126" i="41"/>
  <c r="AA62" i="41"/>
  <c r="AA79" i="41"/>
  <c r="AA135" i="41"/>
  <c r="AA80" i="41"/>
  <c r="AA66" i="41"/>
  <c r="AA63" i="41"/>
  <c r="AA82" i="41"/>
  <c r="AA138" i="41"/>
  <c r="AA76" i="41"/>
  <c r="AA64" i="41"/>
  <c r="AA65" i="41"/>
  <c r="J125" i="41"/>
  <c r="AA67" i="41"/>
  <c r="J124" i="41"/>
  <c r="AA141" i="41"/>
  <c r="AA75" i="41"/>
  <c r="J127" i="41"/>
  <c r="AA140" i="41"/>
  <c r="AA78" i="41"/>
  <c r="J123" i="41"/>
  <c r="AA134" i="41"/>
  <c r="J129" i="41"/>
  <c r="AA77" i="41"/>
  <c r="AA136" i="41"/>
  <c r="AA81" i="41"/>
  <c r="AA69" i="41"/>
  <c r="J128" i="41"/>
  <c r="J130" i="41"/>
  <c r="AA139" i="41"/>
  <c r="Z64" i="41"/>
  <c r="Z137" i="41"/>
  <c r="Z139" i="41"/>
  <c r="Z63" i="41"/>
  <c r="I127" i="41"/>
  <c r="Z140" i="41"/>
  <c r="Z67" i="41"/>
  <c r="Z138" i="41"/>
  <c r="Z75" i="41"/>
  <c r="I124" i="41"/>
  <c r="Z65" i="41"/>
  <c r="I125" i="41"/>
  <c r="I126" i="41"/>
  <c r="Z66" i="41"/>
  <c r="Z68" i="41"/>
  <c r="Z134" i="41"/>
  <c r="I128" i="41"/>
  <c r="I129" i="41"/>
  <c r="Z135" i="41"/>
  <c r="Z136" i="41"/>
  <c r="Z62" i="41"/>
  <c r="Z81" i="41"/>
  <c r="Z77" i="41"/>
  <c r="Z80" i="41"/>
  <c r="Z79" i="41"/>
  <c r="Z78" i="41"/>
  <c r="Z76" i="41"/>
  <c r="I123" i="41"/>
  <c r="H125" i="41"/>
  <c r="Y135" i="41"/>
  <c r="Y64" i="41"/>
  <c r="Y76" i="41"/>
  <c r="Y63" i="41"/>
  <c r="Y79" i="41"/>
  <c r="Y134" i="41"/>
  <c r="H123" i="41"/>
  <c r="Y136" i="41"/>
  <c r="Y62" i="41"/>
  <c r="Y78" i="41"/>
  <c r="Y80" i="41"/>
  <c r="Y75" i="41"/>
  <c r="Y66" i="41"/>
  <c r="H128" i="41"/>
  <c r="H124" i="41"/>
  <c r="Y139" i="41"/>
  <c r="Y67" i="41"/>
  <c r="Y77" i="41"/>
  <c r="H127" i="41"/>
  <c r="Y65" i="41"/>
  <c r="Y138" i="41"/>
  <c r="Y137" i="41"/>
  <c r="H126" i="41"/>
  <c r="X63" i="41"/>
  <c r="X64" i="41"/>
  <c r="X65" i="41"/>
  <c r="X77" i="41"/>
  <c r="G126" i="41"/>
  <c r="X76" i="41"/>
  <c r="X135" i="41"/>
  <c r="X137" i="41"/>
  <c r="X78" i="41"/>
  <c r="X136" i="41"/>
  <c r="X62" i="41"/>
  <c r="G125" i="41"/>
  <c r="G123" i="41"/>
  <c r="X134" i="41"/>
  <c r="X75" i="41"/>
  <c r="G124" i="41"/>
  <c r="W75" i="41"/>
  <c r="W136" i="41"/>
  <c r="W78" i="41"/>
  <c r="W76" i="41"/>
  <c r="E123" i="41"/>
  <c r="V76" i="41"/>
  <c r="E125" i="41"/>
  <c r="V62" i="41"/>
  <c r="V134" i="41"/>
  <c r="E124" i="41"/>
  <c r="V136" i="41"/>
  <c r="V64" i="41"/>
  <c r="V77" i="41"/>
  <c r="V135" i="41"/>
  <c r="V75" i="41"/>
  <c r="V63" i="41"/>
  <c r="U62" i="41"/>
  <c r="U134" i="41"/>
  <c r="D123" i="41"/>
  <c r="U76" i="41"/>
  <c r="D124" i="41"/>
  <c r="U75" i="41"/>
  <c r="U63" i="41"/>
  <c r="U135" i="41"/>
  <c r="P46" i="40"/>
  <c r="O61" i="40"/>
  <c r="O46" i="40"/>
  <c r="N61" i="40"/>
  <c r="M61" i="40"/>
  <c r="N46" i="40"/>
  <c r="L61" i="40"/>
  <c r="M46" i="40"/>
  <c r="L46" i="40"/>
  <c r="K61" i="40"/>
  <c r="K46" i="40"/>
  <c r="J61" i="40"/>
  <c r="I61" i="40"/>
  <c r="I46" i="40"/>
  <c r="H61" i="40"/>
  <c r="G61" i="40"/>
  <c r="H46" i="40"/>
  <c r="F61" i="40"/>
  <c r="G46" i="40"/>
  <c r="F46" i="40"/>
  <c r="E61" i="40"/>
  <c r="E46" i="40"/>
  <c r="D61" i="40"/>
  <c r="D46" i="40"/>
  <c r="C61" i="40"/>
  <c r="B61" i="40"/>
  <c r="P45" i="40"/>
  <c r="O60" i="40"/>
  <c r="O45" i="40"/>
  <c r="N60" i="40"/>
  <c r="N45" i="40"/>
  <c r="M60" i="40"/>
  <c r="M45" i="40"/>
  <c r="L60" i="40"/>
  <c r="K60" i="40"/>
  <c r="L45" i="40"/>
  <c r="K45" i="40"/>
  <c r="I60" i="40"/>
  <c r="J60" i="40"/>
  <c r="I45" i="40"/>
  <c r="H60" i="40"/>
  <c r="H45" i="40"/>
  <c r="G60" i="40"/>
  <c r="G45" i="40"/>
  <c r="F60" i="40"/>
  <c r="F45" i="40"/>
  <c r="E60" i="40"/>
  <c r="E45" i="40"/>
  <c r="D60" i="40"/>
  <c r="D45" i="40"/>
  <c r="C60" i="40"/>
  <c r="B60" i="40"/>
  <c r="O59" i="40"/>
  <c r="P44" i="40"/>
  <c r="O44" i="40"/>
  <c r="N59" i="40"/>
  <c r="N44" i="40"/>
  <c r="M59" i="40"/>
  <c r="L59" i="40"/>
  <c r="M44" i="40"/>
  <c r="L44" i="40"/>
  <c r="K59" i="40"/>
  <c r="I59" i="40"/>
  <c r="J59" i="40"/>
  <c r="K44" i="40"/>
  <c r="I44" i="40"/>
  <c r="H59" i="40"/>
  <c r="G59" i="40"/>
  <c r="H44" i="40"/>
  <c r="G44" i="40"/>
  <c r="F59" i="40"/>
  <c r="E59" i="40"/>
  <c r="F44" i="40"/>
  <c r="D59" i="40"/>
  <c r="E44" i="40"/>
  <c r="B59" i="40"/>
  <c r="D44" i="40"/>
  <c r="C59" i="40"/>
  <c r="AA105" i="40"/>
  <c r="AA129" i="40"/>
  <c r="AA117" i="40"/>
  <c r="AA128" i="40"/>
  <c r="AA104" i="40"/>
  <c r="Z104" i="40"/>
  <c r="Z116" i="40"/>
  <c r="AA116" i="40"/>
  <c r="Z128" i="40"/>
  <c r="AA103" i="40"/>
  <c r="AA115" i="40"/>
  <c r="Y127" i="40"/>
  <c r="Y115" i="40"/>
  <c r="Z103" i="40"/>
  <c r="AA127" i="40"/>
  <c r="Y103" i="40"/>
  <c r="Z127" i="40"/>
  <c r="Z115" i="40"/>
  <c r="AA125" i="40"/>
  <c r="Y113" i="40"/>
  <c r="W125" i="40"/>
  <c r="AA113" i="40"/>
  <c r="Y101" i="40"/>
  <c r="W101" i="40"/>
  <c r="Z101" i="40"/>
  <c r="X113" i="40"/>
  <c r="Z125" i="40"/>
  <c r="X101" i="40"/>
  <c r="AA101" i="40"/>
  <c r="Y125" i="40"/>
  <c r="W113" i="40"/>
  <c r="X125" i="40"/>
  <c r="Z113" i="40"/>
  <c r="Y124" i="40"/>
  <c r="X112" i="40"/>
  <c r="W100" i="40"/>
  <c r="AA100" i="40"/>
  <c r="W112" i="40"/>
  <c r="Z112" i="40"/>
  <c r="Y112" i="40"/>
  <c r="Y100" i="40"/>
  <c r="W124" i="40"/>
  <c r="Z100" i="40"/>
  <c r="V100" i="40"/>
  <c r="X100" i="40"/>
  <c r="V112" i="40"/>
  <c r="AA112" i="40"/>
  <c r="Z124" i="40"/>
  <c r="X124" i="40"/>
  <c r="V124" i="40"/>
  <c r="AA124" i="40"/>
  <c r="W123" i="40"/>
  <c r="Z111" i="40"/>
  <c r="Z99" i="40"/>
  <c r="W99" i="40"/>
  <c r="AA123" i="40"/>
  <c r="U111" i="40"/>
  <c r="V99" i="40"/>
  <c r="W111" i="40"/>
  <c r="U123" i="40"/>
  <c r="Y123" i="40"/>
  <c r="Y111" i="40"/>
  <c r="X99" i="40"/>
  <c r="V111" i="40"/>
  <c r="X123" i="40"/>
  <c r="AA99" i="40"/>
  <c r="X111" i="40"/>
  <c r="V123" i="40"/>
  <c r="AA111" i="40"/>
  <c r="Z123" i="40"/>
  <c r="U99" i="40"/>
  <c r="Y99" i="40"/>
  <c r="AA56" i="40"/>
  <c r="Z163" i="40"/>
  <c r="Z160" i="40"/>
  <c r="Z164" i="40"/>
  <c r="AA43" i="40"/>
  <c r="Z159" i="40"/>
  <c r="Z165" i="40"/>
  <c r="Z162" i="40"/>
  <c r="Z161" i="40"/>
  <c r="AA42" i="40"/>
  <c r="Z55" i="40"/>
  <c r="Y164" i="40"/>
  <c r="Y160" i="40"/>
  <c r="Y159" i="40"/>
  <c r="AA55" i="40"/>
  <c r="Y163" i="40"/>
  <c r="Z42" i="40"/>
  <c r="Y162" i="40"/>
  <c r="Y161" i="40"/>
  <c r="Y54" i="40"/>
  <c r="Z54" i="40"/>
  <c r="X162" i="40"/>
  <c r="X159" i="40"/>
  <c r="X161" i="40"/>
  <c r="AA54" i="40"/>
  <c r="X160" i="40"/>
  <c r="AA41" i="40"/>
  <c r="Z41" i="40"/>
  <c r="Y41" i="40"/>
  <c r="W39" i="40"/>
  <c r="AA52" i="40"/>
  <c r="Y52" i="40"/>
  <c r="Y39" i="40"/>
  <c r="X39" i="40"/>
  <c r="Z39" i="40"/>
  <c r="X52" i="40"/>
  <c r="AA39" i="40"/>
  <c r="Z52" i="40"/>
  <c r="V159" i="40"/>
  <c r="V160" i="40"/>
  <c r="V161" i="40"/>
  <c r="W52" i="40"/>
  <c r="AA51" i="40"/>
  <c r="Z38" i="40"/>
  <c r="AA38" i="40"/>
  <c r="W51" i="40"/>
  <c r="V38" i="40"/>
  <c r="X51" i="40"/>
  <c r="W38" i="40"/>
  <c r="Y38" i="40"/>
  <c r="X38" i="40"/>
  <c r="Z51" i="40"/>
  <c r="Y51" i="40"/>
  <c r="U160" i="40"/>
  <c r="U159" i="40"/>
  <c r="V51" i="40"/>
  <c r="U50" i="40"/>
  <c r="Z37" i="40"/>
  <c r="X37" i="40"/>
  <c r="V37" i="40"/>
  <c r="U37" i="40"/>
  <c r="Z50" i="40"/>
  <c r="X50" i="40"/>
  <c r="Y50" i="40"/>
  <c r="AA50" i="40"/>
  <c r="W37" i="40"/>
  <c r="Y37" i="40"/>
  <c r="V50" i="40"/>
  <c r="W50" i="40"/>
  <c r="AA37" i="40"/>
  <c r="AA146" i="40"/>
  <c r="AA89" i="40"/>
  <c r="AA153" i="40"/>
  <c r="AA150" i="40"/>
  <c r="AA86" i="40"/>
  <c r="AA87" i="40"/>
  <c r="AA148" i="40"/>
  <c r="AA91" i="40"/>
  <c r="AA151" i="40"/>
  <c r="AA92" i="40"/>
  <c r="AA93" i="40"/>
  <c r="AA90" i="40"/>
  <c r="AA88" i="40"/>
  <c r="AA152" i="40"/>
  <c r="AA147" i="40"/>
  <c r="Z151" i="40"/>
  <c r="Z92" i="40"/>
  <c r="Z152" i="40"/>
  <c r="AA31" i="40"/>
  <c r="Z148" i="40"/>
  <c r="Z150" i="40"/>
  <c r="Z149" i="40"/>
  <c r="Z147" i="40"/>
  <c r="Z146" i="40"/>
  <c r="Z91" i="40"/>
  <c r="Z89" i="40"/>
  <c r="Z88" i="40"/>
  <c r="Z87" i="40"/>
  <c r="Z86" i="40"/>
  <c r="Z90" i="40"/>
  <c r="Y147" i="40"/>
  <c r="Y148" i="40"/>
  <c r="Y150" i="40"/>
  <c r="Y86" i="40"/>
  <c r="Z30" i="40"/>
  <c r="Y146" i="40"/>
  <c r="Y87" i="40"/>
  <c r="Y151" i="40"/>
  <c r="Y149" i="40"/>
  <c r="Y91" i="40"/>
  <c r="Y90" i="40"/>
  <c r="Y89" i="40"/>
  <c r="AA30" i="40"/>
  <c r="Y88" i="40"/>
  <c r="X147" i="40"/>
  <c r="X87" i="40"/>
  <c r="X88" i="40"/>
  <c r="X146" i="40"/>
  <c r="X86" i="40"/>
  <c r="Z29" i="40"/>
  <c r="X149" i="40"/>
  <c r="AA29" i="40"/>
  <c r="X89" i="40"/>
  <c r="Y29" i="40"/>
  <c r="X148" i="40"/>
  <c r="V147" i="40"/>
  <c r="V88" i="40"/>
  <c r="V146" i="40"/>
  <c r="V86" i="40"/>
  <c r="V148" i="40"/>
  <c r="AA27" i="40"/>
  <c r="Y27" i="40"/>
  <c r="Z27" i="40"/>
  <c r="X27" i="40"/>
  <c r="V87" i="40"/>
  <c r="W27" i="40"/>
  <c r="U87" i="40"/>
  <c r="W26" i="40"/>
  <c r="U86" i="40"/>
  <c r="U146" i="40"/>
  <c r="AA26" i="40"/>
  <c r="U147" i="40"/>
  <c r="Z26" i="40"/>
  <c r="X26" i="40"/>
  <c r="V26" i="40"/>
  <c r="Y26" i="40"/>
  <c r="V25" i="40"/>
  <c r="Z25" i="40"/>
  <c r="X25" i="40"/>
  <c r="AA25" i="40"/>
  <c r="W25" i="40"/>
  <c r="U25" i="40"/>
  <c r="Y25" i="40"/>
  <c r="AA138" i="40"/>
  <c r="AA75" i="40"/>
  <c r="AA141" i="40"/>
  <c r="AA137" i="40"/>
  <c r="AA63" i="40"/>
  <c r="AA140" i="40"/>
  <c r="AA64" i="40"/>
  <c r="AA65" i="40"/>
  <c r="AA139" i="40"/>
  <c r="AA136" i="40"/>
  <c r="AA79" i="40"/>
  <c r="AA78" i="40"/>
  <c r="AA77" i="40"/>
  <c r="AA69" i="40"/>
  <c r="AA80" i="40"/>
  <c r="Z139" i="40"/>
  <c r="Z136" i="40"/>
  <c r="Z77" i="40"/>
  <c r="Z79" i="40"/>
  <c r="Z137" i="40"/>
  <c r="Z63" i="40"/>
  <c r="Z134" i="40"/>
  <c r="Z76" i="40"/>
  <c r="Z75" i="40"/>
  <c r="Z138" i="40"/>
  <c r="Z78" i="40"/>
  <c r="Z66" i="40"/>
  <c r="Z140" i="40"/>
  <c r="Z62" i="40"/>
  <c r="Z64" i="40"/>
  <c r="Z67" i="40"/>
  <c r="Z135" i="40"/>
  <c r="Z81" i="40"/>
  <c r="Z68" i="40"/>
  <c r="Z65" i="40"/>
  <c r="Z80" i="40"/>
  <c r="Y76" i="40"/>
  <c r="Y62" i="40"/>
  <c r="Y75" i="40"/>
  <c r="Y67" i="40"/>
  <c r="Y66" i="40"/>
  <c r="Y65" i="40"/>
  <c r="Y136" i="40"/>
  <c r="Y138" i="40"/>
  <c r="Y77" i="40"/>
  <c r="Y80" i="40"/>
  <c r="Y137" i="40"/>
  <c r="Y134" i="40"/>
  <c r="Y135" i="40"/>
  <c r="Y139" i="40"/>
  <c r="Y79" i="40"/>
  <c r="Y64" i="40"/>
  <c r="Y63" i="40"/>
  <c r="Y78" i="40"/>
  <c r="X62" i="40"/>
  <c r="X63" i="40"/>
  <c r="X134" i="40"/>
  <c r="X64" i="40"/>
  <c r="X135" i="40"/>
  <c r="X137" i="40"/>
  <c r="X65" i="40"/>
  <c r="X77" i="40"/>
  <c r="X136" i="40"/>
  <c r="X78" i="40"/>
  <c r="X75" i="40"/>
  <c r="X76" i="40"/>
  <c r="V134" i="40"/>
  <c r="V63" i="40"/>
  <c r="V136" i="40"/>
  <c r="V77" i="40"/>
  <c r="V76" i="40"/>
  <c r="V135" i="40"/>
  <c r="V75" i="40"/>
  <c r="V64" i="40"/>
  <c r="V62" i="40"/>
  <c r="U63" i="40"/>
  <c r="U135" i="40"/>
  <c r="U75" i="40"/>
  <c r="U76" i="40"/>
  <c r="U62" i="40"/>
  <c r="U134" i="40"/>
  <c r="P59" i="35"/>
  <c r="Z16" i="35"/>
  <c r="J44" i="35"/>
  <c r="V16" i="35"/>
  <c r="C44" i="35"/>
  <c r="R16" i="35"/>
  <c r="O47" i="35"/>
  <c r="Y19" i="35"/>
  <c r="M47" i="35"/>
  <c r="X19" i="35"/>
  <c r="W19" i="35"/>
  <c r="Z103" i="35" s="1"/>
  <c r="K47" i="35"/>
  <c r="J47" i="35"/>
  <c r="V19" i="35"/>
  <c r="U19" i="35"/>
  <c r="AA125" i="35" s="1"/>
  <c r="H47" i="35"/>
  <c r="F47" i="35"/>
  <c r="T19" i="35"/>
  <c r="S19" i="35"/>
  <c r="Y111" i="35" s="1"/>
  <c r="D47" i="35"/>
  <c r="C47" i="35"/>
  <c r="R19" i="35"/>
  <c r="Z18" i="35"/>
  <c r="P61" i="35"/>
  <c r="P46" i="35"/>
  <c r="O61" i="35"/>
  <c r="N61" i="35"/>
  <c r="Y18" i="35"/>
  <c r="O46" i="35"/>
  <c r="N46" i="35"/>
  <c r="M61" i="35"/>
  <c r="M46" i="35"/>
  <c r="L61" i="35"/>
  <c r="X18" i="35"/>
  <c r="L46" i="35"/>
  <c r="K61" i="35"/>
  <c r="I61" i="35"/>
  <c r="K46" i="35"/>
  <c r="J61" i="35"/>
  <c r="W18" i="35"/>
  <c r="Y41" i="35" s="1"/>
  <c r="V18" i="35"/>
  <c r="J46" i="35"/>
  <c r="H61" i="35"/>
  <c r="I46" i="35"/>
  <c r="H46" i="35"/>
  <c r="U18" i="35"/>
  <c r="X39" i="35" s="1"/>
  <c r="G61" i="35"/>
  <c r="G46" i="35"/>
  <c r="F61" i="35"/>
  <c r="T18" i="35"/>
  <c r="Y38" i="35" s="1"/>
  <c r="E61" i="35"/>
  <c r="F46" i="35"/>
  <c r="D61" i="35"/>
  <c r="E46" i="35"/>
  <c r="S18" i="35"/>
  <c r="C61" i="35"/>
  <c r="B61" i="35"/>
  <c r="D46" i="35"/>
  <c r="C46" i="35"/>
  <c r="R18" i="35"/>
  <c r="Z17" i="35"/>
  <c r="P60" i="35"/>
  <c r="P45" i="35"/>
  <c r="O60" i="35"/>
  <c r="N60" i="35"/>
  <c r="O45" i="35"/>
  <c r="Y17" i="35"/>
  <c r="Z88" i="35" s="1"/>
  <c r="M60" i="35"/>
  <c r="N45" i="35"/>
  <c r="M45" i="35"/>
  <c r="L60" i="35"/>
  <c r="X17" i="35"/>
  <c r="K60" i="35"/>
  <c r="L45" i="35"/>
  <c r="K45" i="35"/>
  <c r="W17" i="35"/>
  <c r="X89" i="35" s="1"/>
  <c r="J60" i="35"/>
  <c r="I60" i="35"/>
  <c r="V17" i="35"/>
  <c r="J45" i="35"/>
  <c r="H60" i="35"/>
  <c r="I45" i="35"/>
  <c r="G60" i="35"/>
  <c r="U17" i="35"/>
  <c r="V148" i="35" s="1"/>
  <c r="H45" i="35"/>
  <c r="F60" i="35"/>
  <c r="G45" i="35"/>
  <c r="F45" i="35"/>
  <c r="E60" i="35"/>
  <c r="T17" i="35"/>
  <c r="D60" i="35"/>
  <c r="E45" i="35"/>
  <c r="S17" i="35"/>
  <c r="D45" i="35"/>
  <c r="C60" i="35"/>
  <c r="B60" i="35"/>
  <c r="C45" i="35"/>
  <c r="R17" i="35"/>
  <c r="P44" i="35"/>
  <c r="O59" i="35"/>
  <c r="O44" i="35"/>
  <c r="N59" i="35"/>
  <c r="M59" i="35"/>
  <c r="N44" i="35"/>
  <c r="M44" i="35"/>
  <c r="L59" i="35"/>
  <c r="K59" i="35"/>
  <c r="L44" i="35"/>
  <c r="I59" i="35"/>
  <c r="K44" i="35"/>
  <c r="J59" i="35"/>
  <c r="H59" i="35"/>
  <c r="I44" i="35"/>
  <c r="H44" i="35"/>
  <c r="G59" i="35"/>
  <c r="G44" i="35"/>
  <c r="F59" i="35"/>
  <c r="F44" i="35"/>
  <c r="E59" i="35"/>
  <c r="E44" i="35"/>
  <c r="D59" i="35"/>
  <c r="D44" i="35"/>
  <c r="C59" i="35"/>
  <c r="B59" i="35"/>
  <c r="X101" i="35"/>
  <c r="Z101" i="35"/>
  <c r="W101" i="35"/>
  <c r="X125" i="35"/>
  <c r="X113" i="35"/>
  <c r="Y125" i="35"/>
  <c r="Z125" i="35"/>
  <c r="AA159" i="35"/>
  <c r="AA164" i="35"/>
  <c r="AA160" i="35"/>
  <c r="AA165" i="35"/>
  <c r="AA163" i="35"/>
  <c r="AA161" i="35"/>
  <c r="AA166" i="35"/>
  <c r="AA162" i="35"/>
  <c r="Z164" i="35"/>
  <c r="Z163" i="35"/>
  <c r="Z162" i="35"/>
  <c r="Z161" i="35"/>
  <c r="AA43" i="35"/>
  <c r="Z159" i="35"/>
  <c r="Z160" i="35"/>
  <c r="Y164" i="35"/>
  <c r="Y163" i="35"/>
  <c r="Y162" i="35"/>
  <c r="Y160" i="35"/>
  <c r="AA42" i="35"/>
  <c r="Y159" i="35"/>
  <c r="Y161" i="35"/>
  <c r="Z42" i="35"/>
  <c r="X161" i="35"/>
  <c r="W160" i="35"/>
  <c r="W159" i="35"/>
  <c r="AA40" i="35"/>
  <c r="Y40" i="35"/>
  <c r="W161" i="35"/>
  <c r="AA39" i="35"/>
  <c r="V160" i="35"/>
  <c r="V161" i="35"/>
  <c r="V159" i="35"/>
  <c r="W39" i="35"/>
  <c r="Y39" i="35"/>
  <c r="Z39" i="35"/>
  <c r="U160" i="35"/>
  <c r="AA38" i="35"/>
  <c r="U159" i="35"/>
  <c r="W38" i="35"/>
  <c r="X38" i="35"/>
  <c r="V38" i="35"/>
  <c r="Z38" i="35"/>
  <c r="AA148" i="35"/>
  <c r="AA147" i="35"/>
  <c r="AA91" i="35"/>
  <c r="AA86" i="35"/>
  <c r="AA89" i="35"/>
  <c r="AA90" i="35"/>
  <c r="AA88" i="35"/>
  <c r="AA87" i="35"/>
  <c r="AA92" i="35"/>
  <c r="AA93" i="35"/>
  <c r="AA152" i="35"/>
  <c r="AA146" i="35"/>
  <c r="AA153" i="35"/>
  <c r="AA151" i="35"/>
  <c r="Z146" i="35"/>
  <c r="Z87" i="35"/>
  <c r="Z89" i="35"/>
  <c r="Z149" i="35"/>
  <c r="Z86" i="35"/>
  <c r="Z150" i="35"/>
  <c r="Z91" i="35"/>
  <c r="Z148" i="35"/>
  <c r="Z147" i="35"/>
  <c r="Z92" i="35"/>
  <c r="Z90" i="35"/>
  <c r="Z151" i="35"/>
  <c r="Y91" i="35"/>
  <c r="Y89" i="35"/>
  <c r="Y150" i="35"/>
  <c r="Y148" i="35"/>
  <c r="Y88" i="35"/>
  <c r="Y146" i="35"/>
  <c r="Y147" i="35"/>
  <c r="Y86" i="35"/>
  <c r="Y87" i="35"/>
  <c r="Y149" i="35"/>
  <c r="Y151" i="35"/>
  <c r="Y90" i="35"/>
  <c r="X146" i="35"/>
  <c r="X148" i="35"/>
  <c r="X88" i="35"/>
  <c r="X87" i="35"/>
  <c r="X86" i="35"/>
  <c r="X149" i="35"/>
  <c r="X147" i="35"/>
  <c r="W88" i="35"/>
  <c r="W147" i="35"/>
  <c r="W148" i="35"/>
  <c r="W86" i="35"/>
  <c r="W149" i="35"/>
  <c r="W89" i="35"/>
  <c r="W146" i="35"/>
  <c r="W87" i="35"/>
  <c r="V87" i="35"/>
  <c r="V146" i="35"/>
  <c r="V88" i="35"/>
  <c r="V147" i="35"/>
  <c r="V86" i="35"/>
  <c r="U146" i="35"/>
  <c r="U147" i="35"/>
  <c r="U86" i="35"/>
  <c r="U87" i="35"/>
  <c r="AA67" i="35"/>
  <c r="AA62" i="35"/>
  <c r="AA139" i="35"/>
  <c r="AA63" i="35"/>
  <c r="AA140" i="35"/>
  <c r="AA136" i="35"/>
  <c r="AA134" i="35"/>
  <c r="AA137" i="35"/>
  <c r="AA68" i="35"/>
  <c r="Z80" i="35"/>
  <c r="Z78" i="35"/>
  <c r="Z134" i="35"/>
  <c r="Z68" i="35"/>
  <c r="Z137" i="35"/>
  <c r="Z138" i="35"/>
  <c r="Z139" i="35"/>
  <c r="Z135" i="35"/>
  <c r="Z65" i="35"/>
  <c r="Z63" i="35"/>
  <c r="Z66" i="35"/>
  <c r="Z75" i="35"/>
  <c r="Z67" i="35"/>
  <c r="Z136" i="35"/>
  <c r="Z140" i="35"/>
  <c r="Z64" i="35"/>
  <c r="Z81" i="35"/>
  <c r="Z79" i="35"/>
  <c r="Z76" i="35"/>
  <c r="Z62" i="35"/>
  <c r="Z77" i="35"/>
  <c r="Y63" i="35"/>
  <c r="Y67" i="35"/>
  <c r="Y65" i="35"/>
  <c r="Y76" i="35"/>
  <c r="Y137" i="35"/>
  <c r="Y139" i="35"/>
  <c r="Y134" i="35"/>
  <c r="Y66" i="35"/>
  <c r="Y138" i="35"/>
  <c r="Y136" i="35"/>
  <c r="Y78" i="35"/>
  <c r="Y77" i="35"/>
  <c r="Y79" i="35"/>
  <c r="Y75" i="35"/>
  <c r="Y80" i="35"/>
  <c r="Y135" i="35"/>
  <c r="Y62" i="35"/>
  <c r="Y64" i="35"/>
  <c r="X136" i="35"/>
  <c r="X64" i="35"/>
  <c r="X137" i="35"/>
  <c r="X134" i="35"/>
  <c r="X76" i="35"/>
  <c r="X65" i="35"/>
  <c r="X63" i="35"/>
  <c r="X75" i="35"/>
  <c r="X62" i="35"/>
  <c r="X135" i="35"/>
  <c r="X77" i="35"/>
  <c r="X78" i="35"/>
  <c r="V64" i="35"/>
  <c r="V62" i="35"/>
  <c r="V75" i="35"/>
  <c r="V135" i="35"/>
  <c r="V134" i="35"/>
  <c r="V77" i="35"/>
  <c r="V76" i="35"/>
  <c r="V63" i="35"/>
  <c r="V136" i="35"/>
  <c r="U134" i="35"/>
  <c r="U135" i="35"/>
  <c r="U75" i="35"/>
  <c r="U76" i="35"/>
  <c r="U62" i="35"/>
  <c r="U63" i="35"/>
  <c r="M46" i="34"/>
  <c r="X18" i="34"/>
  <c r="J45" i="34"/>
  <c r="V17" i="34"/>
  <c r="J44" i="34"/>
  <c r="V16" i="34"/>
  <c r="P59" i="34"/>
  <c r="Z16" i="34"/>
  <c r="J46" i="34"/>
  <c r="V18" i="34"/>
  <c r="Z53" i="34" s="1"/>
  <c r="C44" i="34"/>
  <c r="R16" i="34"/>
  <c r="O60" i="34"/>
  <c r="P45" i="34"/>
  <c r="O45" i="34"/>
  <c r="N60" i="34"/>
  <c r="N45" i="34"/>
  <c r="M60" i="34"/>
  <c r="L60" i="34"/>
  <c r="M45" i="34"/>
  <c r="L45" i="34"/>
  <c r="K60" i="34"/>
  <c r="K45" i="34"/>
  <c r="I60" i="34"/>
  <c r="J60" i="34"/>
  <c r="I45" i="34"/>
  <c r="H60" i="34"/>
  <c r="H45" i="34"/>
  <c r="G60" i="34"/>
  <c r="G45" i="34"/>
  <c r="F60" i="34"/>
  <c r="E60" i="34"/>
  <c r="F45" i="34"/>
  <c r="D60" i="34"/>
  <c r="E45" i="34"/>
  <c r="D45" i="34"/>
  <c r="C60" i="34"/>
  <c r="B60" i="34"/>
  <c r="O59" i="34"/>
  <c r="P44" i="34"/>
  <c r="N59" i="34"/>
  <c r="O44" i="34"/>
  <c r="N44" i="34"/>
  <c r="M59" i="34"/>
  <c r="M44" i="34"/>
  <c r="L59" i="34"/>
  <c r="L44" i="34"/>
  <c r="K59" i="34"/>
  <c r="I59" i="34"/>
  <c r="J59" i="34"/>
  <c r="K44" i="34"/>
  <c r="H59" i="34"/>
  <c r="I44" i="34"/>
  <c r="G59" i="34"/>
  <c r="H44" i="34"/>
  <c r="G44" i="34"/>
  <c r="F59" i="34"/>
  <c r="F44" i="34"/>
  <c r="E59" i="34"/>
  <c r="D59" i="34"/>
  <c r="E44" i="34"/>
  <c r="D44" i="34"/>
  <c r="C59" i="34"/>
  <c r="B59" i="34"/>
  <c r="Z42" i="34"/>
  <c r="Z55" i="34"/>
  <c r="AA55" i="34"/>
  <c r="AA42" i="34"/>
  <c r="AA53" i="34"/>
  <c r="Y40" i="34"/>
  <c r="Y53" i="34"/>
  <c r="AA40" i="34"/>
  <c r="Z40" i="34"/>
  <c r="Z86" i="34"/>
  <c r="Z90" i="34"/>
  <c r="Z91" i="34"/>
  <c r="Z89" i="34"/>
  <c r="Z88" i="34"/>
  <c r="Z87" i="34"/>
  <c r="Z92" i="34"/>
  <c r="AA31" i="34"/>
  <c r="Y91" i="34"/>
  <c r="Y86" i="34"/>
  <c r="Y89" i="34"/>
  <c r="Y90" i="34"/>
  <c r="Y88" i="34"/>
  <c r="Y87" i="34"/>
  <c r="Z30" i="34"/>
  <c r="AA30" i="34"/>
  <c r="X88" i="34"/>
  <c r="X89" i="34"/>
  <c r="X87" i="34"/>
  <c r="Z29" i="34"/>
  <c r="AA29" i="34"/>
  <c r="X86" i="34"/>
  <c r="Y29" i="34"/>
  <c r="Z28" i="34"/>
  <c r="AA28" i="34"/>
  <c r="W86" i="34"/>
  <c r="Y28" i="34"/>
  <c r="W89" i="34"/>
  <c r="Y27" i="34"/>
  <c r="V86" i="34"/>
  <c r="AA27" i="34"/>
  <c r="W27" i="34"/>
  <c r="Z27" i="34"/>
  <c r="V88" i="34"/>
  <c r="V87" i="34"/>
  <c r="X27" i="34"/>
  <c r="U86" i="34"/>
  <c r="V26" i="34"/>
  <c r="U87" i="34"/>
  <c r="X26" i="34"/>
  <c r="AA26" i="34"/>
  <c r="Z26" i="34"/>
  <c r="W26" i="34"/>
  <c r="Y26" i="34"/>
  <c r="V25" i="34"/>
  <c r="U25" i="34"/>
  <c r="W25" i="34"/>
  <c r="X25" i="34"/>
  <c r="AA25" i="34"/>
  <c r="Z25" i="34"/>
  <c r="Y25" i="34"/>
  <c r="AA81" i="34"/>
  <c r="Z81" i="34"/>
  <c r="Z68" i="34"/>
  <c r="Z67" i="34"/>
  <c r="Z66" i="34"/>
  <c r="Z75" i="34"/>
  <c r="Z63" i="34"/>
  <c r="Z78" i="34"/>
  <c r="Z65" i="34"/>
  <c r="Z64" i="34"/>
  <c r="Z62" i="34"/>
  <c r="Z80" i="34"/>
  <c r="Z77" i="34"/>
  <c r="Z79" i="34"/>
  <c r="Z76" i="34"/>
  <c r="Y66" i="34"/>
  <c r="Y62" i="34"/>
  <c r="Y76" i="34"/>
  <c r="Y77" i="34"/>
  <c r="Y78" i="34"/>
  <c r="Y65" i="34"/>
  <c r="Y67" i="34"/>
  <c r="Y80" i="34"/>
  <c r="Y79" i="34"/>
  <c r="Y63" i="34"/>
  <c r="Y64" i="34"/>
  <c r="Y75" i="34"/>
  <c r="X75" i="34"/>
  <c r="X63" i="34"/>
  <c r="X65" i="34"/>
  <c r="X64" i="34"/>
  <c r="X62" i="34"/>
  <c r="X76" i="34"/>
  <c r="X77" i="34"/>
  <c r="X78" i="34"/>
  <c r="W63" i="34"/>
  <c r="W62" i="34"/>
  <c r="W75" i="34"/>
  <c r="W64" i="34"/>
  <c r="W77" i="34"/>
  <c r="W65" i="34"/>
  <c r="W76" i="34"/>
  <c r="W78" i="34"/>
  <c r="V63" i="34"/>
  <c r="V64" i="34"/>
  <c r="V76" i="34"/>
  <c r="V62" i="34"/>
  <c r="V77" i="34"/>
  <c r="V75" i="34"/>
  <c r="U63" i="34"/>
  <c r="U76" i="34"/>
  <c r="U62" i="34"/>
  <c r="U75" i="34"/>
  <c r="Z40" i="35" l="1"/>
  <c r="W162" i="35"/>
  <c r="D87" i="40"/>
  <c r="H99" i="40"/>
  <c r="J138" i="40"/>
  <c r="J141" i="40"/>
  <c r="J136" i="40"/>
  <c r="J140" i="40"/>
  <c r="J139" i="40"/>
  <c r="E111" i="40"/>
  <c r="G75" i="40"/>
  <c r="I75" i="40"/>
  <c r="D99" i="40"/>
  <c r="D111" i="40"/>
  <c r="I87" i="40"/>
  <c r="F75" i="40"/>
  <c r="J87" i="40"/>
  <c r="H87" i="40"/>
  <c r="E99" i="40"/>
  <c r="G99" i="40"/>
  <c r="Z28" i="41"/>
  <c r="W148" i="41"/>
  <c r="W86" i="41"/>
  <c r="W149" i="41"/>
  <c r="W87" i="41"/>
  <c r="F138" i="41"/>
  <c r="F135" i="41"/>
  <c r="F136" i="41"/>
  <c r="W147" i="41"/>
  <c r="W89" i="41"/>
  <c r="Y28" i="41"/>
  <c r="W77" i="41"/>
  <c r="W65" i="41"/>
  <c r="W146" i="41"/>
  <c r="Q186" i="41"/>
  <c r="Q188" i="41"/>
  <c r="Q187" i="41"/>
  <c r="F124" i="41"/>
  <c r="F123" i="41"/>
  <c r="W63" i="41"/>
  <c r="W64" i="41"/>
  <c r="W135" i="41"/>
  <c r="F125" i="41"/>
  <c r="W134" i="41"/>
  <c r="W137" i="41"/>
  <c r="F126" i="41"/>
  <c r="W88" i="41"/>
  <c r="F137" i="41"/>
  <c r="AA103" i="41"/>
  <c r="Y115" i="41"/>
  <c r="Z127" i="41"/>
  <c r="AA126" i="41"/>
  <c r="F161" i="41"/>
  <c r="Z126" i="41"/>
  <c r="Y114" i="41"/>
  <c r="Z102" i="41"/>
  <c r="F162" i="41"/>
  <c r="Z114" i="41"/>
  <c r="AA102" i="41"/>
  <c r="Y102" i="41"/>
  <c r="AA114" i="41"/>
  <c r="F160" i="41"/>
  <c r="F159" i="41"/>
  <c r="Y126" i="41"/>
  <c r="W113" i="41"/>
  <c r="AA125" i="41"/>
  <c r="E161" i="41"/>
  <c r="Y101" i="41"/>
  <c r="E159" i="41"/>
  <c r="Z125" i="41"/>
  <c r="AA105" i="41"/>
  <c r="I161" i="41"/>
  <c r="Z128" i="41"/>
  <c r="Z116" i="41"/>
  <c r="Z104" i="41"/>
  <c r="AA116" i="41"/>
  <c r="W88" i="34"/>
  <c r="W87" i="34"/>
  <c r="X162" i="35"/>
  <c r="X159" i="35"/>
  <c r="AA149" i="35"/>
  <c r="AA150" i="35"/>
  <c r="AA31" i="35"/>
  <c r="Z152" i="35"/>
  <c r="J135" i="40"/>
  <c r="AA149" i="40"/>
  <c r="E87" i="40"/>
  <c r="J75" i="40"/>
  <c r="H75" i="40"/>
  <c r="I99" i="40"/>
  <c r="F147" i="40"/>
  <c r="F149" i="40"/>
  <c r="E75" i="40"/>
  <c r="D75" i="40"/>
  <c r="I111" i="40"/>
  <c r="J111" i="40"/>
  <c r="F88" i="40"/>
  <c r="E100" i="40"/>
  <c r="E112" i="40"/>
  <c r="H112" i="40"/>
  <c r="I103" i="40"/>
  <c r="H91" i="40"/>
  <c r="J115" i="40"/>
  <c r="H79" i="40"/>
  <c r="J91" i="40"/>
  <c r="H103" i="40"/>
  <c r="I80" i="40"/>
  <c r="H116" i="40"/>
  <c r="I92" i="40"/>
  <c r="J92" i="40"/>
  <c r="J80" i="40"/>
  <c r="I116" i="40"/>
  <c r="G100" i="40"/>
  <c r="I88" i="40"/>
  <c r="D112" i="40"/>
  <c r="F76" i="40"/>
  <c r="I100" i="40"/>
  <c r="D100" i="40"/>
  <c r="I76" i="40"/>
  <c r="J88" i="40"/>
  <c r="E88" i="40"/>
  <c r="D88" i="40"/>
  <c r="J79" i="40"/>
  <c r="I79" i="40"/>
  <c r="I91" i="40"/>
  <c r="H115" i="40"/>
  <c r="I115" i="40"/>
  <c r="J103" i="40"/>
  <c r="D76" i="40"/>
  <c r="E76" i="40"/>
  <c r="H76" i="40"/>
  <c r="F100" i="40"/>
  <c r="H100" i="40"/>
  <c r="J100" i="40"/>
  <c r="H88" i="40"/>
  <c r="G76" i="40"/>
  <c r="G112" i="40"/>
  <c r="J76" i="40"/>
  <c r="F112" i="40"/>
  <c r="I112" i="40"/>
  <c r="J112" i="40"/>
  <c r="G88" i="40"/>
  <c r="G101" i="40"/>
  <c r="I101" i="40"/>
  <c r="E101" i="40"/>
  <c r="G89" i="40"/>
  <c r="J89" i="40"/>
  <c r="G77" i="40"/>
  <c r="J77" i="40"/>
  <c r="F113" i="40"/>
  <c r="E113" i="40"/>
  <c r="I77" i="40"/>
  <c r="I113" i="40"/>
  <c r="I89" i="40"/>
  <c r="F77" i="40"/>
  <c r="J113" i="40"/>
  <c r="G113" i="40"/>
  <c r="E77" i="40"/>
  <c r="H77" i="40"/>
  <c r="H113" i="40"/>
  <c r="E89" i="40"/>
  <c r="H89" i="40"/>
  <c r="F89" i="40"/>
  <c r="J101" i="40"/>
  <c r="H101" i="40"/>
  <c r="F101" i="40"/>
  <c r="F78" i="40"/>
  <c r="I114" i="40"/>
  <c r="G90" i="40"/>
  <c r="I164" i="41"/>
  <c r="I165" i="41"/>
  <c r="AA117" i="41"/>
  <c r="I163" i="41"/>
  <c r="J159" i="41"/>
  <c r="J166" i="41"/>
  <c r="J160" i="41"/>
  <c r="J164" i="41"/>
  <c r="J165" i="41"/>
  <c r="J162" i="41"/>
  <c r="J161" i="41"/>
  <c r="J163" i="41"/>
  <c r="I159" i="41"/>
  <c r="I160" i="41"/>
  <c r="AA129" i="41"/>
  <c r="AA115" i="41"/>
  <c r="Z103" i="41"/>
  <c r="Y103" i="41"/>
  <c r="Z115" i="41"/>
  <c r="Y127" i="41"/>
  <c r="G159" i="41"/>
  <c r="AA146" i="41"/>
  <c r="J139" i="41"/>
  <c r="AA149" i="41"/>
  <c r="AA92" i="41"/>
  <c r="J137" i="41"/>
  <c r="G162" i="41"/>
  <c r="G161" i="41"/>
  <c r="G160" i="41"/>
  <c r="AA127" i="41"/>
  <c r="Q173" i="41"/>
  <c r="Q174" i="41"/>
  <c r="Q175" i="41"/>
  <c r="Q176" i="41"/>
  <c r="W62" i="41"/>
  <c r="AA41" i="35"/>
  <c r="X160" i="35"/>
  <c r="X36" i="35"/>
  <c r="W36" i="35"/>
  <c r="AA100" i="35"/>
  <c r="Z100" i="35"/>
  <c r="V124" i="35"/>
  <c r="Z124" i="35"/>
  <c r="AA124" i="35"/>
  <c r="V112" i="35"/>
  <c r="Y112" i="35"/>
  <c r="AA112" i="35"/>
  <c r="Z111" i="35"/>
  <c r="X99" i="35"/>
  <c r="Y123" i="35"/>
  <c r="X111" i="35"/>
  <c r="U111" i="35"/>
  <c r="AA99" i="35"/>
  <c r="W99" i="35"/>
  <c r="W123" i="35"/>
  <c r="AA111" i="35"/>
  <c r="Z99" i="35"/>
  <c r="U99" i="35"/>
  <c r="X123" i="35"/>
  <c r="AA123" i="35"/>
  <c r="V111" i="35"/>
  <c r="Z123" i="35"/>
  <c r="V123" i="35"/>
  <c r="V99" i="35"/>
  <c r="U123" i="35"/>
  <c r="AA56" i="35"/>
  <c r="Z165" i="35"/>
  <c r="Z37" i="35"/>
  <c r="Y37" i="35"/>
  <c r="U37" i="35"/>
  <c r="W37" i="35"/>
  <c r="V37" i="35"/>
  <c r="X37" i="35"/>
  <c r="U49" i="35"/>
  <c r="U36" i="35"/>
  <c r="Z36" i="35"/>
  <c r="AA36" i="35"/>
  <c r="Y36" i="35"/>
  <c r="V36" i="35"/>
  <c r="W125" i="35"/>
  <c r="W113" i="35"/>
  <c r="AA101" i="35"/>
  <c r="Z113" i="35"/>
  <c r="AA113" i="35"/>
  <c r="Y113" i="35"/>
  <c r="Y101" i="35"/>
  <c r="AA68" i="34"/>
  <c r="AA78" i="34"/>
  <c r="AA77" i="34"/>
  <c r="AA76" i="34"/>
  <c r="AA63" i="34"/>
  <c r="AA62" i="34"/>
  <c r="AA82" i="34"/>
  <c r="AA75" i="34"/>
  <c r="AA80" i="34"/>
  <c r="AA79" i="34"/>
  <c r="AA67" i="34"/>
  <c r="AA65" i="34"/>
  <c r="AA66" i="34"/>
  <c r="AA69" i="34"/>
  <c r="AA64" i="34"/>
  <c r="J140" i="41"/>
  <c r="J138" i="41"/>
  <c r="J142" i="41"/>
  <c r="J135" i="41"/>
  <c r="AA87" i="41"/>
  <c r="AA153" i="41"/>
  <c r="AA152" i="41"/>
  <c r="H159" i="41"/>
  <c r="H160" i="41"/>
  <c r="AA128" i="41"/>
  <c r="H163" i="41"/>
  <c r="AA104" i="41"/>
  <c r="H164" i="41"/>
  <c r="H162" i="41"/>
  <c r="H161" i="41"/>
  <c r="E160" i="41"/>
  <c r="Z101" i="41"/>
  <c r="AA101" i="41"/>
  <c r="Y113" i="41"/>
  <c r="X125" i="41"/>
  <c r="Y125" i="41"/>
  <c r="Z113" i="41"/>
  <c r="X101" i="41"/>
  <c r="W125" i="41"/>
  <c r="X113" i="41"/>
  <c r="AA113" i="41"/>
  <c r="W101" i="41"/>
  <c r="Y124" i="41"/>
  <c r="AA100" i="41"/>
  <c r="Y100" i="41"/>
  <c r="AA124" i="41"/>
  <c r="Z100" i="41"/>
  <c r="Y112" i="41"/>
  <c r="V112" i="41"/>
  <c r="D159" i="41"/>
  <c r="W100" i="41"/>
  <c r="V100" i="41"/>
  <c r="W112" i="41"/>
  <c r="Z112" i="41"/>
  <c r="AA112" i="41"/>
  <c r="X112" i="41"/>
  <c r="Z124" i="41"/>
  <c r="X100" i="41"/>
  <c r="X124" i="41"/>
  <c r="W124" i="41"/>
  <c r="D160" i="41"/>
  <c r="V124" i="41"/>
  <c r="U180" i="41"/>
  <c r="U178" i="41"/>
  <c r="U177" i="41"/>
  <c r="G99" i="41"/>
  <c r="I75" i="41"/>
  <c r="J87" i="41"/>
  <c r="F99" i="41"/>
  <c r="J99" i="41"/>
  <c r="G87" i="41"/>
  <c r="F87" i="41"/>
  <c r="E87" i="41"/>
  <c r="J113" i="41"/>
  <c r="I113" i="41"/>
  <c r="F113" i="41"/>
  <c r="G77" i="41"/>
  <c r="J101" i="41"/>
  <c r="J89" i="41"/>
  <c r="I89" i="41"/>
  <c r="E113" i="41"/>
  <c r="H89" i="41"/>
  <c r="F77" i="41"/>
  <c r="J77" i="41"/>
  <c r="G89" i="41"/>
  <c r="F89" i="41"/>
  <c r="E89" i="41"/>
  <c r="I77" i="41"/>
  <c r="E77" i="41"/>
  <c r="I101" i="41"/>
  <c r="H101" i="41"/>
  <c r="H113" i="41"/>
  <c r="J88" i="41"/>
  <c r="I88" i="41"/>
  <c r="H88" i="41"/>
  <c r="E100" i="41"/>
  <c r="F100" i="41"/>
  <c r="G100" i="41"/>
  <c r="G88" i="41"/>
  <c r="F88" i="41"/>
  <c r="H100" i="41"/>
  <c r="I100" i="41"/>
  <c r="J100" i="41"/>
  <c r="E88" i="41"/>
  <c r="D88" i="41"/>
  <c r="E112" i="41"/>
  <c r="J76" i="41"/>
  <c r="D112" i="41"/>
  <c r="I76" i="41"/>
  <c r="E76" i="41"/>
  <c r="F112" i="41"/>
  <c r="I112" i="41"/>
  <c r="G112" i="41"/>
  <c r="J112" i="41"/>
  <c r="G76" i="41"/>
  <c r="H112" i="41"/>
  <c r="H76" i="41"/>
  <c r="D76" i="41"/>
  <c r="E99" i="41"/>
  <c r="D87" i="41"/>
  <c r="G111" i="41"/>
  <c r="I111" i="41"/>
  <c r="F111" i="41"/>
  <c r="H87" i="41"/>
  <c r="I87" i="41"/>
  <c r="G75" i="41"/>
  <c r="E75" i="41"/>
  <c r="D111" i="41"/>
  <c r="J111" i="41"/>
  <c r="F75" i="41"/>
  <c r="J75" i="41"/>
  <c r="D99" i="41"/>
  <c r="I99" i="41"/>
  <c r="E111" i="41"/>
  <c r="H111" i="41"/>
  <c r="H99" i="41"/>
  <c r="H75" i="41"/>
  <c r="D75" i="41"/>
  <c r="J104" i="40"/>
  <c r="H104" i="40"/>
  <c r="H80" i="40"/>
  <c r="I104" i="40"/>
  <c r="J81" i="40"/>
  <c r="I105" i="40"/>
  <c r="J162" i="40"/>
  <c r="J161" i="40"/>
  <c r="J160" i="40"/>
  <c r="J159" i="40"/>
  <c r="J165" i="40"/>
  <c r="J166" i="40"/>
  <c r="J164" i="40"/>
  <c r="J163" i="40"/>
  <c r="J116" i="40"/>
  <c r="H92" i="40"/>
  <c r="V36" i="40"/>
  <c r="X49" i="40"/>
  <c r="W49" i="40"/>
  <c r="Y36" i="40"/>
  <c r="U36" i="40"/>
  <c r="AA49" i="40"/>
  <c r="I81" i="40"/>
  <c r="J105" i="40"/>
  <c r="I117" i="40"/>
  <c r="J117" i="40"/>
  <c r="J106" i="40"/>
  <c r="J94" i="40"/>
  <c r="J82" i="40"/>
  <c r="J118" i="40"/>
  <c r="J93" i="40"/>
  <c r="I93" i="40"/>
  <c r="W124" i="35"/>
  <c r="Y124" i="35"/>
  <c r="W100" i="35"/>
  <c r="Y100" i="35"/>
  <c r="Z112" i="35"/>
  <c r="X124" i="35"/>
  <c r="W112" i="35"/>
  <c r="X112" i="35"/>
  <c r="X100" i="35"/>
  <c r="V100" i="35"/>
  <c r="AA81" i="35"/>
  <c r="AA66" i="35"/>
  <c r="AA75" i="35"/>
  <c r="AA79" i="35"/>
  <c r="AA141" i="35"/>
  <c r="AA135" i="35"/>
  <c r="AA64" i="35"/>
  <c r="AA138" i="35"/>
  <c r="AA80" i="35"/>
  <c r="Z114" i="35"/>
  <c r="Y102" i="35"/>
  <c r="AA126" i="35"/>
  <c r="AA102" i="35"/>
  <c r="Y114" i="35"/>
  <c r="Z102" i="35"/>
  <c r="AA114" i="35"/>
  <c r="Y126" i="35"/>
  <c r="Z126" i="35"/>
  <c r="AA77" i="35"/>
  <c r="AA78" i="35"/>
  <c r="AA69" i="35"/>
  <c r="AA65" i="35"/>
  <c r="AA82" i="35"/>
  <c r="AA76" i="35"/>
  <c r="W135" i="35"/>
  <c r="W77" i="35"/>
  <c r="W78" i="35"/>
  <c r="W137" i="35"/>
  <c r="W62" i="35"/>
  <c r="W64" i="35"/>
  <c r="W65" i="35"/>
  <c r="AA52" i="35"/>
  <c r="Z52" i="35"/>
  <c r="Y52" i="35"/>
  <c r="X52" i="35"/>
  <c r="W52" i="35"/>
  <c r="AA51" i="35"/>
  <c r="Z51" i="35"/>
  <c r="Y51" i="35"/>
  <c r="X51" i="35"/>
  <c r="W51" i="35"/>
  <c r="V51" i="35"/>
  <c r="Y50" i="35"/>
  <c r="X50" i="35"/>
  <c r="W50" i="35"/>
  <c r="V50" i="35"/>
  <c r="U50" i="35"/>
  <c r="W75" i="35"/>
  <c r="W134" i="35"/>
  <c r="W136" i="35"/>
  <c r="W63" i="35"/>
  <c r="W76" i="35"/>
  <c r="AA37" i="35"/>
  <c r="AA50" i="35"/>
  <c r="Z50" i="35"/>
  <c r="AA49" i="35"/>
  <c r="Z49" i="35"/>
  <c r="Y49" i="35"/>
  <c r="X49" i="35"/>
  <c r="W49" i="35"/>
  <c r="V49" i="35"/>
  <c r="AA55" i="35"/>
  <c r="Z55" i="35"/>
  <c r="Z41" i="35"/>
  <c r="AA54" i="35"/>
  <c r="Z54" i="35"/>
  <c r="Y54" i="35"/>
  <c r="AA53" i="35"/>
  <c r="Z53" i="35"/>
  <c r="Y53" i="35"/>
  <c r="AA117" i="35"/>
  <c r="AA129" i="35"/>
  <c r="AA105" i="35"/>
  <c r="AA104" i="35"/>
  <c r="Z116" i="35"/>
  <c r="AA116" i="35"/>
  <c r="Z104" i="35"/>
  <c r="AA128" i="35"/>
  <c r="Z128" i="35"/>
  <c r="Z115" i="35"/>
  <c r="Z127" i="35"/>
  <c r="AA127" i="35"/>
  <c r="Y127" i="35"/>
  <c r="Y115" i="35"/>
  <c r="AA103" i="35"/>
  <c r="AA36" i="40"/>
  <c r="X36" i="40"/>
  <c r="U49" i="40"/>
  <c r="Z49" i="40"/>
  <c r="Z36" i="40"/>
  <c r="Y49" i="40"/>
  <c r="AA24" i="40"/>
  <c r="Z24" i="40"/>
  <c r="Y24" i="40"/>
  <c r="V24" i="40"/>
  <c r="F159" i="40"/>
  <c r="F161" i="40"/>
  <c r="J126" i="40"/>
  <c r="J127" i="40"/>
  <c r="J123" i="40"/>
  <c r="J125" i="40"/>
  <c r="J130" i="40"/>
  <c r="J124" i="40"/>
  <c r="J129" i="40"/>
  <c r="J128" i="40"/>
  <c r="AA135" i="40"/>
  <c r="AA62" i="40"/>
  <c r="AA67" i="40"/>
  <c r="AA134" i="40"/>
  <c r="AA68" i="40"/>
  <c r="AA76" i="40"/>
  <c r="AA81" i="40"/>
  <c r="AA82" i="40"/>
  <c r="AA66" i="40"/>
  <c r="U24" i="40"/>
  <c r="X24" i="40"/>
  <c r="W24" i="40"/>
  <c r="F160" i="40"/>
  <c r="F162" i="40"/>
  <c r="F148" i="40"/>
  <c r="F150" i="40"/>
  <c r="F138" i="40"/>
  <c r="F137" i="40"/>
  <c r="F135" i="40"/>
  <c r="F136" i="40"/>
  <c r="W148" i="40"/>
  <c r="Z28" i="40"/>
  <c r="W149" i="40"/>
  <c r="W88" i="40"/>
  <c r="W147" i="40"/>
  <c r="AA28" i="40"/>
  <c r="W86" i="40"/>
  <c r="W146" i="40"/>
  <c r="Y28" i="40"/>
  <c r="F125" i="40"/>
  <c r="F123" i="40"/>
  <c r="F124" i="40"/>
  <c r="J148" i="40"/>
  <c r="J151" i="40"/>
  <c r="J147" i="40"/>
  <c r="J154" i="40"/>
  <c r="J153" i="40"/>
  <c r="J152" i="40"/>
  <c r="J149" i="40"/>
  <c r="J150" i="40"/>
  <c r="W52" i="34"/>
  <c r="Z52" i="34"/>
  <c r="Z39" i="34"/>
  <c r="W39" i="34"/>
  <c r="AA39" i="34"/>
  <c r="Y39" i="34"/>
  <c r="AA52" i="34"/>
  <c r="X52" i="34"/>
  <c r="AA86" i="34"/>
  <c r="AA92" i="34"/>
  <c r="AA91" i="34"/>
  <c r="AA89" i="34"/>
  <c r="AA90" i="34"/>
  <c r="AA88" i="34"/>
  <c r="AA93" i="34"/>
  <c r="AA87" i="34"/>
  <c r="AA50" i="34"/>
  <c r="U50" i="34"/>
  <c r="Y50" i="34"/>
  <c r="X50" i="34"/>
  <c r="W50" i="34"/>
  <c r="V50" i="34"/>
  <c r="Y37" i="34"/>
  <c r="U37" i="34"/>
  <c r="Z50" i="34"/>
  <c r="W37" i="34"/>
  <c r="AA37" i="34"/>
  <c r="V37" i="34"/>
  <c r="Z37" i="34"/>
  <c r="X37" i="34"/>
  <c r="AA43" i="34"/>
  <c r="AA56" i="34"/>
  <c r="X39" i="34"/>
  <c r="Y52" i="34"/>
  <c r="Z51" i="34"/>
  <c r="W51" i="34"/>
  <c r="Y51" i="34"/>
  <c r="X38" i="34"/>
  <c r="W38" i="34"/>
  <c r="X51" i="34"/>
  <c r="V51" i="34"/>
  <c r="Z38" i="34"/>
  <c r="AA51" i="34"/>
  <c r="AA38" i="34"/>
  <c r="Y38" i="34"/>
  <c r="V38" i="34"/>
  <c r="V49" i="34"/>
  <c r="V36" i="34"/>
  <c r="X36" i="34"/>
  <c r="X49" i="34"/>
  <c r="Z49" i="34"/>
  <c r="AA36" i="34"/>
  <c r="Y49" i="34"/>
  <c r="AA49" i="34"/>
  <c r="U36" i="34"/>
  <c r="Z36" i="34"/>
  <c r="Y36" i="34"/>
  <c r="U49" i="34"/>
  <c r="W36" i="34"/>
  <c r="W49" i="34"/>
  <c r="W24" i="34"/>
  <c r="U24" i="34"/>
  <c r="X24" i="34"/>
  <c r="AA24" i="34"/>
  <c r="V24" i="34"/>
  <c r="Y24" i="34"/>
  <c r="Z24" i="34"/>
  <c r="Z54" i="34"/>
  <c r="Z41" i="34"/>
  <c r="Y41" i="34"/>
  <c r="Y54" i="34"/>
  <c r="AA54" i="34"/>
  <c r="AA41" i="34"/>
  <c r="AA56" i="42"/>
  <c r="AA43" i="42"/>
  <c r="AA42" i="42"/>
  <c r="Z55" i="42"/>
  <c r="AA55" i="42"/>
  <c r="Z42" i="42"/>
  <c r="AA41" i="42"/>
  <c r="Z54" i="42"/>
  <c r="Y54" i="42"/>
  <c r="Y41" i="42"/>
  <c r="Z41" i="42"/>
  <c r="AA54" i="42"/>
  <c r="AA40" i="42"/>
  <c r="Y53" i="42"/>
  <c r="Z53" i="42"/>
  <c r="Y40" i="42"/>
  <c r="AA53" i="42"/>
  <c r="Z40" i="42"/>
  <c r="AA39" i="42"/>
  <c r="Z52" i="42"/>
  <c r="W39" i="42"/>
  <c r="X52" i="42"/>
  <c r="Z39" i="42"/>
  <c r="W52" i="42"/>
  <c r="Y39" i="42"/>
  <c r="Y52" i="42"/>
  <c r="X39" i="42"/>
  <c r="AA52" i="42"/>
  <c r="V38" i="42"/>
  <c r="AA38" i="42"/>
  <c r="V51" i="42"/>
  <c r="AA51" i="42"/>
  <c r="X38" i="42"/>
  <c r="Y51" i="42"/>
  <c r="Z38" i="42"/>
  <c r="W51" i="42"/>
  <c r="W38" i="42"/>
  <c r="X51" i="42"/>
  <c r="Y38" i="42"/>
  <c r="Z51" i="42"/>
  <c r="X37" i="42"/>
  <c r="X50" i="42"/>
  <c r="W37" i="42"/>
  <c r="U50" i="42"/>
  <c r="AA50" i="42"/>
  <c r="V37" i="42"/>
  <c r="AA37" i="42"/>
  <c r="W50" i="42"/>
  <c r="Y37" i="42"/>
  <c r="Y50" i="42"/>
  <c r="U37" i="42"/>
  <c r="Z37" i="42"/>
  <c r="V50" i="42"/>
  <c r="Z50" i="42"/>
  <c r="W36" i="42"/>
  <c r="AA36" i="42"/>
  <c r="U49" i="42"/>
  <c r="Z49" i="42"/>
  <c r="V36" i="42"/>
  <c r="Y36" i="42"/>
  <c r="W49" i="42"/>
  <c r="X36" i="42"/>
  <c r="X49" i="42"/>
  <c r="Z36" i="42"/>
  <c r="AA49" i="42"/>
  <c r="U36" i="42"/>
  <c r="V49" i="42"/>
  <c r="Y49" i="42"/>
  <c r="AA90" i="42"/>
  <c r="AA93" i="42"/>
  <c r="AA86" i="42"/>
  <c r="AA89" i="42"/>
  <c r="AA91" i="42"/>
  <c r="AA92" i="42"/>
  <c r="AA87" i="42"/>
  <c r="AA88" i="42"/>
  <c r="AA31" i="42"/>
  <c r="Z88" i="42"/>
  <c r="Z89" i="42"/>
  <c r="Z90" i="42"/>
  <c r="Z92" i="42"/>
  <c r="Z86" i="42"/>
  <c r="Z87" i="42"/>
  <c r="Z91" i="42"/>
  <c r="Z30" i="42"/>
  <c r="Y87" i="42"/>
  <c r="Y90" i="42"/>
  <c r="AA30" i="42"/>
  <c r="Y86" i="42"/>
  <c r="Y88" i="42"/>
  <c r="Y91" i="42"/>
  <c r="Y89" i="42"/>
  <c r="AA29" i="42"/>
  <c r="Y29" i="42"/>
  <c r="X87" i="42"/>
  <c r="Z29" i="42"/>
  <c r="X86" i="42"/>
  <c r="X88" i="42"/>
  <c r="X89" i="42"/>
  <c r="Z28" i="42"/>
  <c r="W86" i="42"/>
  <c r="W87" i="42"/>
  <c r="W88" i="42"/>
  <c r="Y28" i="42"/>
  <c r="AA28" i="42"/>
  <c r="W89" i="42"/>
  <c r="Y27" i="42"/>
  <c r="V86" i="42"/>
  <c r="AA27" i="42"/>
  <c r="V88" i="42"/>
  <c r="Z27" i="42"/>
  <c r="W27" i="42"/>
  <c r="X27" i="42"/>
  <c r="V87" i="42"/>
  <c r="Y26" i="42"/>
  <c r="U87" i="42"/>
  <c r="W26" i="42"/>
  <c r="AA26" i="42"/>
  <c r="Z26" i="42"/>
  <c r="V26" i="42"/>
  <c r="U86" i="42"/>
  <c r="X26" i="42"/>
  <c r="V25" i="42"/>
  <c r="AA25" i="42"/>
  <c r="Y25" i="42"/>
  <c r="X25" i="42"/>
  <c r="W25" i="42"/>
  <c r="U25" i="42"/>
  <c r="Z25" i="42"/>
  <c r="V24" i="42"/>
  <c r="W24" i="42"/>
  <c r="X24" i="42"/>
  <c r="Y24" i="42"/>
  <c r="Z24" i="42"/>
  <c r="AA24" i="42"/>
  <c r="AA69" i="42"/>
  <c r="AA78" i="42"/>
  <c r="AA80" i="42"/>
  <c r="AA62" i="42"/>
  <c r="AA66" i="42"/>
  <c r="AA68" i="42"/>
  <c r="AA79" i="42"/>
  <c r="AA81" i="42"/>
  <c r="AA63" i="42"/>
  <c r="AA77" i="42"/>
  <c r="AA64" i="42"/>
  <c r="AA65" i="42"/>
  <c r="AA67" i="42"/>
  <c r="AA75" i="42"/>
  <c r="AA76" i="42"/>
  <c r="AA82" i="42"/>
  <c r="Z62" i="42"/>
  <c r="Z64" i="42"/>
  <c r="Z65" i="42"/>
  <c r="Z77" i="42"/>
  <c r="Z63" i="42"/>
  <c r="Z76" i="42"/>
  <c r="Z81" i="42"/>
  <c r="Z66" i="42"/>
  <c r="Z68" i="42"/>
  <c r="Z79" i="42"/>
  <c r="Z67" i="42"/>
  <c r="Z75" i="42"/>
  <c r="Z78" i="42"/>
  <c r="Z80" i="42"/>
  <c r="Y67" i="42"/>
  <c r="Y76" i="42"/>
  <c r="Y65" i="42"/>
  <c r="Y78" i="42"/>
  <c r="Y75" i="42"/>
  <c r="Y62" i="42"/>
  <c r="Y64" i="42"/>
  <c r="Y66" i="42"/>
  <c r="Y80" i="42"/>
  <c r="Y63" i="42"/>
  <c r="Y77" i="42"/>
  <c r="Y79" i="42"/>
  <c r="X63" i="42"/>
  <c r="X75" i="42"/>
  <c r="X64" i="42"/>
  <c r="X77" i="42"/>
  <c r="X62" i="42"/>
  <c r="X76" i="42"/>
  <c r="X65" i="42"/>
  <c r="X78" i="42"/>
  <c r="W62" i="42"/>
  <c r="W75" i="42"/>
  <c r="W65" i="42"/>
  <c r="W77" i="42"/>
  <c r="W78" i="42"/>
  <c r="W63" i="42"/>
  <c r="W76" i="42"/>
  <c r="W64" i="42"/>
  <c r="V64" i="42"/>
  <c r="V76" i="42"/>
  <c r="V63" i="42"/>
  <c r="V77" i="42"/>
  <c r="V62" i="42"/>
  <c r="V75" i="42"/>
  <c r="U76" i="42"/>
  <c r="U75" i="42"/>
  <c r="U63" i="42"/>
  <c r="X49" i="41"/>
  <c r="V49" i="41"/>
  <c r="U49" i="41"/>
  <c r="Z49" i="41"/>
  <c r="AA49" i="41"/>
  <c r="Z36" i="41"/>
  <c r="AA36" i="41"/>
  <c r="Y36" i="41"/>
  <c r="X36" i="41"/>
  <c r="W36" i="41"/>
  <c r="V36" i="41"/>
  <c r="U36" i="41"/>
  <c r="W49" i="41"/>
  <c r="Y49" i="41"/>
  <c r="I102" i="41"/>
  <c r="H102" i="41"/>
  <c r="G102" i="41"/>
  <c r="F102" i="41"/>
  <c r="G90" i="41"/>
  <c r="I114" i="41"/>
  <c r="J90" i="41"/>
  <c r="I90" i="41"/>
  <c r="J114" i="41"/>
  <c r="F114" i="41"/>
  <c r="H90" i="41"/>
  <c r="H114" i="41"/>
  <c r="F90" i="41"/>
  <c r="J78" i="41"/>
  <c r="H78" i="41"/>
  <c r="G114" i="41"/>
  <c r="G78" i="41"/>
  <c r="I78" i="41"/>
  <c r="F78" i="41"/>
  <c r="J102" i="41"/>
  <c r="G113" i="41"/>
  <c r="G101" i="41"/>
  <c r="F101" i="41"/>
  <c r="E101" i="41"/>
  <c r="H77" i="41"/>
  <c r="W24" i="41"/>
  <c r="X24" i="41"/>
  <c r="Z24" i="41"/>
  <c r="Y24" i="41"/>
  <c r="V24" i="41"/>
  <c r="AA24" i="41"/>
  <c r="U24" i="41"/>
  <c r="D100" i="41"/>
  <c r="F76" i="41"/>
  <c r="J106" i="41"/>
  <c r="J82" i="41"/>
  <c r="J93" i="41"/>
  <c r="J117" i="41"/>
  <c r="I117" i="41"/>
  <c r="I93" i="41"/>
  <c r="I105" i="41"/>
  <c r="J105" i="41"/>
  <c r="I81" i="41"/>
  <c r="J81" i="41"/>
  <c r="H92" i="41"/>
  <c r="I92" i="41"/>
  <c r="J92" i="41"/>
  <c r="I116" i="41"/>
  <c r="H80" i="41"/>
  <c r="J80" i="41"/>
  <c r="J116" i="41"/>
  <c r="I104" i="41"/>
  <c r="J104" i="41"/>
  <c r="H104" i="41"/>
  <c r="I80" i="41"/>
  <c r="H116" i="41"/>
  <c r="H91" i="41"/>
  <c r="I79" i="41"/>
  <c r="I91" i="41"/>
  <c r="J91" i="41"/>
  <c r="J115" i="41"/>
  <c r="H115" i="41"/>
  <c r="H79" i="41"/>
  <c r="I103" i="41"/>
  <c r="H103" i="41"/>
  <c r="J103" i="41"/>
  <c r="I115" i="41"/>
  <c r="Z111" i="41"/>
  <c r="W111" i="41"/>
  <c r="V111" i="41"/>
  <c r="Y111" i="41"/>
  <c r="W99" i="41"/>
  <c r="Z99" i="41"/>
  <c r="Y123" i="41"/>
  <c r="AA99" i="41"/>
  <c r="V123" i="41"/>
  <c r="U99" i="41"/>
  <c r="X99" i="41"/>
  <c r="U111" i="41"/>
  <c r="Y99" i="41"/>
  <c r="X123" i="41"/>
  <c r="X111" i="41"/>
  <c r="U123" i="41"/>
  <c r="AA111" i="41"/>
  <c r="Z123" i="41"/>
  <c r="W123" i="41"/>
  <c r="V99" i="41"/>
  <c r="AA123" i="41"/>
  <c r="W52" i="41"/>
  <c r="X52" i="41"/>
  <c r="V160" i="41"/>
  <c r="AA52" i="41"/>
  <c r="AA39" i="41"/>
  <c r="W39" i="41"/>
  <c r="V161" i="41"/>
  <c r="J94" i="41"/>
  <c r="J118" i="41"/>
  <c r="V122" i="41"/>
  <c r="Z122" i="41"/>
  <c r="U122" i="41"/>
  <c r="W110" i="41"/>
  <c r="AA122" i="41"/>
  <c r="U98" i="41"/>
  <c r="X122" i="41"/>
  <c r="Z110" i="41"/>
  <c r="W98" i="41"/>
  <c r="V110" i="41"/>
  <c r="AA98" i="41"/>
  <c r="Y122" i="41"/>
  <c r="W122" i="41"/>
  <c r="Y110" i="41"/>
  <c r="U110" i="41"/>
  <c r="X98" i="41"/>
  <c r="X110" i="41"/>
  <c r="AA110" i="41"/>
  <c r="Y98" i="41"/>
  <c r="Z98" i="41"/>
  <c r="V98" i="41"/>
  <c r="J149" i="41"/>
  <c r="AA166" i="41"/>
  <c r="AA164" i="41"/>
  <c r="J152" i="41"/>
  <c r="AA159" i="41"/>
  <c r="J151" i="41"/>
  <c r="J150" i="41"/>
  <c r="AA163" i="41"/>
  <c r="AA162" i="41"/>
  <c r="AA161" i="41"/>
  <c r="AA160" i="41"/>
  <c r="J154" i="41"/>
  <c r="J153" i="41"/>
  <c r="J148" i="41"/>
  <c r="J147" i="41"/>
  <c r="AA165" i="41"/>
  <c r="Z165" i="41"/>
  <c r="I150" i="41"/>
  <c r="Z159" i="41"/>
  <c r="I153" i="41"/>
  <c r="I152" i="41"/>
  <c r="AA43" i="41"/>
  <c r="I151" i="41"/>
  <c r="Z163" i="41"/>
  <c r="Z162" i="41"/>
  <c r="I148" i="41"/>
  <c r="I149" i="41"/>
  <c r="Z161" i="41"/>
  <c r="Z160" i="41"/>
  <c r="I147" i="41"/>
  <c r="Z164" i="41"/>
  <c r="AA56" i="41"/>
  <c r="AA55" i="41"/>
  <c r="H147" i="41"/>
  <c r="Y161" i="41"/>
  <c r="Z55" i="41"/>
  <c r="Y159" i="41"/>
  <c r="Y160" i="41"/>
  <c r="G147" i="41"/>
  <c r="X159" i="41"/>
  <c r="G149" i="41"/>
  <c r="G148" i="41"/>
  <c r="Z41" i="41"/>
  <c r="AA41" i="41"/>
  <c r="X162" i="41"/>
  <c r="Y54" i="41"/>
  <c r="Z54" i="41"/>
  <c r="G150" i="41"/>
  <c r="Y41" i="41"/>
  <c r="X161" i="41"/>
  <c r="X160" i="41"/>
  <c r="AA54" i="41"/>
  <c r="Y40" i="41"/>
  <c r="Z40" i="41"/>
  <c r="W159" i="41"/>
  <c r="W160" i="41"/>
  <c r="Z53" i="41"/>
  <c r="W161" i="41"/>
  <c r="W162" i="41"/>
  <c r="F148" i="41"/>
  <c r="AA53" i="41"/>
  <c r="AA40" i="41"/>
  <c r="F150" i="41"/>
  <c r="F149" i="41"/>
  <c r="Y53" i="41"/>
  <c r="F147" i="41"/>
  <c r="E147" i="41"/>
  <c r="Z39" i="41"/>
  <c r="Y39" i="41"/>
  <c r="E148" i="41"/>
  <c r="E149" i="41"/>
  <c r="Z52" i="41"/>
  <c r="Y52" i="41"/>
  <c r="X39" i="41"/>
  <c r="V159" i="41"/>
  <c r="D173" i="41"/>
  <c r="J173" i="41"/>
  <c r="I173" i="41"/>
  <c r="H173" i="41"/>
  <c r="G173" i="41"/>
  <c r="F173" i="41"/>
  <c r="E173" i="41"/>
  <c r="D184" i="41"/>
  <c r="J184" i="41"/>
  <c r="I184" i="41"/>
  <c r="H184" i="41"/>
  <c r="G184" i="41"/>
  <c r="F184" i="41"/>
  <c r="E184" i="41"/>
  <c r="D195" i="41"/>
  <c r="J195" i="41"/>
  <c r="I195" i="41"/>
  <c r="H195" i="41"/>
  <c r="G195" i="41"/>
  <c r="F195" i="41"/>
  <c r="E195" i="41"/>
  <c r="D206" i="41"/>
  <c r="J206" i="41"/>
  <c r="I206" i="41"/>
  <c r="H206" i="41"/>
  <c r="G206" i="41"/>
  <c r="F206" i="41"/>
  <c r="E206" i="41"/>
  <c r="D217" i="41"/>
  <c r="J217" i="41"/>
  <c r="I217" i="41"/>
  <c r="H217" i="41"/>
  <c r="G217" i="41"/>
  <c r="F217" i="41"/>
  <c r="E217" i="41"/>
  <c r="D174" i="41"/>
  <c r="J174" i="41"/>
  <c r="I174" i="41"/>
  <c r="H174" i="41"/>
  <c r="G174" i="41"/>
  <c r="F174" i="41"/>
  <c r="E174" i="41"/>
  <c r="D185" i="41"/>
  <c r="J185" i="41"/>
  <c r="I185" i="41"/>
  <c r="H185" i="41"/>
  <c r="G185" i="41"/>
  <c r="F185" i="41"/>
  <c r="E185" i="41"/>
  <c r="D196" i="41"/>
  <c r="J196" i="41"/>
  <c r="I196" i="41"/>
  <c r="H196" i="41"/>
  <c r="G196" i="41"/>
  <c r="F196" i="41"/>
  <c r="E196" i="41"/>
  <c r="D207" i="41"/>
  <c r="J207" i="41"/>
  <c r="I207" i="41"/>
  <c r="H207" i="41"/>
  <c r="G207" i="41"/>
  <c r="F207" i="41"/>
  <c r="E207" i="41"/>
  <c r="D218" i="41"/>
  <c r="J218" i="41"/>
  <c r="I218" i="41"/>
  <c r="H218" i="41"/>
  <c r="G218" i="41"/>
  <c r="F218" i="41"/>
  <c r="E218" i="41"/>
  <c r="E175" i="41"/>
  <c r="J175" i="41"/>
  <c r="I175" i="41"/>
  <c r="H175" i="41"/>
  <c r="G175" i="41"/>
  <c r="F175" i="41"/>
  <c r="E186" i="41"/>
  <c r="J186" i="41"/>
  <c r="I186" i="41"/>
  <c r="H186" i="41"/>
  <c r="G186" i="41"/>
  <c r="F186" i="41"/>
  <c r="E197" i="41"/>
  <c r="J197" i="41"/>
  <c r="I197" i="41"/>
  <c r="H197" i="41"/>
  <c r="G197" i="41"/>
  <c r="F197" i="41"/>
  <c r="E208" i="41"/>
  <c r="J208" i="41"/>
  <c r="I208" i="41"/>
  <c r="H208" i="41"/>
  <c r="G208" i="41"/>
  <c r="F208" i="41"/>
  <c r="E219" i="41"/>
  <c r="J219" i="41"/>
  <c r="I219" i="41"/>
  <c r="H219" i="41"/>
  <c r="G219" i="41"/>
  <c r="F219" i="41"/>
  <c r="F176" i="41"/>
  <c r="J176" i="41"/>
  <c r="I176" i="41"/>
  <c r="H176" i="41"/>
  <c r="G176" i="41"/>
  <c r="F187" i="41"/>
  <c r="J187" i="41"/>
  <c r="I187" i="41"/>
  <c r="H187" i="41"/>
  <c r="G187" i="41"/>
  <c r="F198" i="41"/>
  <c r="J198" i="41"/>
  <c r="I198" i="41"/>
  <c r="H198" i="41"/>
  <c r="G198" i="41"/>
  <c r="F209" i="41"/>
  <c r="J209" i="41"/>
  <c r="I209" i="41"/>
  <c r="H209" i="41"/>
  <c r="G209" i="41"/>
  <c r="F220" i="41"/>
  <c r="J220" i="41"/>
  <c r="I220" i="41"/>
  <c r="H220" i="41"/>
  <c r="G220" i="41"/>
  <c r="H177" i="41"/>
  <c r="J177" i="41"/>
  <c r="I177" i="41"/>
  <c r="H188" i="41"/>
  <c r="J188" i="41"/>
  <c r="I188" i="41"/>
  <c r="H199" i="41"/>
  <c r="J199" i="41"/>
  <c r="I199" i="41"/>
  <c r="H210" i="41"/>
  <c r="J210" i="41"/>
  <c r="I210" i="41"/>
  <c r="J221" i="41"/>
  <c r="I221" i="41"/>
  <c r="H221" i="41"/>
  <c r="H178" i="41"/>
  <c r="J178" i="41"/>
  <c r="I178" i="41"/>
  <c r="H189" i="41"/>
  <c r="J189" i="41"/>
  <c r="I189" i="41"/>
  <c r="H200" i="41"/>
  <c r="J200" i="41"/>
  <c r="I200" i="41"/>
  <c r="H211" i="41"/>
  <c r="J211" i="41"/>
  <c r="I211" i="41"/>
  <c r="J222" i="41"/>
  <c r="I222" i="41"/>
  <c r="H222" i="41"/>
  <c r="I179" i="41"/>
  <c r="J179" i="41"/>
  <c r="I190" i="41"/>
  <c r="J190" i="41"/>
  <c r="I201" i="41"/>
  <c r="J201" i="41"/>
  <c r="I212" i="41"/>
  <c r="J212" i="41"/>
  <c r="I223" i="41"/>
  <c r="J223" i="41"/>
  <c r="J180" i="41"/>
  <c r="J191" i="41"/>
  <c r="J202" i="41"/>
  <c r="J213" i="41"/>
  <c r="J224" i="41"/>
  <c r="U232" i="41"/>
  <c r="U227" i="41"/>
  <c r="U225" i="41"/>
  <c r="U226" i="41"/>
  <c r="U228" i="41"/>
  <c r="U229" i="41"/>
  <c r="U230" i="41"/>
  <c r="U231" i="41"/>
  <c r="T226" i="41"/>
  <c r="T228" i="41"/>
  <c r="T229" i="41"/>
  <c r="T230" i="41"/>
  <c r="T231" i="41"/>
  <c r="T225" i="41"/>
  <c r="T227" i="41"/>
  <c r="S225" i="41"/>
  <c r="S227" i="41"/>
  <c r="S228" i="41"/>
  <c r="S229" i="41"/>
  <c r="S230" i="41"/>
  <c r="S226" i="41"/>
  <c r="R225" i="41"/>
  <c r="R226" i="41"/>
  <c r="R227" i="41"/>
  <c r="R228" i="41"/>
  <c r="Q225" i="41"/>
  <c r="Q226" i="41"/>
  <c r="Q227" i="41"/>
  <c r="Q228" i="41"/>
  <c r="P225" i="41"/>
  <c r="P227" i="41"/>
  <c r="P226" i="41"/>
  <c r="O225" i="41"/>
  <c r="O226" i="41"/>
  <c r="U215" i="41"/>
  <c r="U216" i="41"/>
  <c r="U219" i="41"/>
  <c r="U212" i="41"/>
  <c r="U213" i="41"/>
  <c r="U214" i="41"/>
  <c r="U217" i="41"/>
  <c r="U218" i="41"/>
  <c r="T212" i="41"/>
  <c r="T214" i="41"/>
  <c r="T213" i="41"/>
  <c r="T215" i="41"/>
  <c r="T217" i="41"/>
  <c r="T216" i="41"/>
  <c r="T218" i="41"/>
  <c r="S214" i="41"/>
  <c r="S216" i="41"/>
  <c r="S215" i="41"/>
  <c r="S212" i="41"/>
  <c r="S213" i="41"/>
  <c r="S217" i="41"/>
  <c r="R214" i="41"/>
  <c r="R212" i="41"/>
  <c r="R213" i="41"/>
  <c r="R215" i="41"/>
  <c r="Q213" i="41"/>
  <c r="Q212" i="41"/>
  <c r="Q215" i="41"/>
  <c r="Q214" i="41"/>
  <c r="P212" i="41"/>
  <c r="P213" i="41"/>
  <c r="P214" i="41"/>
  <c r="O212" i="41"/>
  <c r="O213" i="41"/>
  <c r="U199" i="41"/>
  <c r="U201" i="41"/>
  <c r="U203" i="41"/>
  <c r="U205" i="41"/>
  <c r="U200" i="41"/>
  <c r="U202" i="41"/>
  <c r="U204" i="41"/>
  <c r="U206" i="41"/>
  <c r="T200" i="41"/>
  <c r="T204" i="41"/>
  <c r="T199" i="41"/>
  <c r="T202" i="41"/>
  <c r="T203" i="41"/>
  <c r="T201" i="41"/>
  <c r="T205" i="41"/>
  <c r="S200" i="41"/>
  <c r="S202" i="41"/>
  <c r="S204" i="41"/>
  <c r="S199" i="41"/>
  <c r="S201" i="41"/>
  <c r="S203" i="41"/>
  <c r="R200" i="41"/>
  <c r="R201" i="41"/>
  <c r="R202" i="41"/>
  <c r="R199" i="41"/>
  <c r="Q199" i="41"/>
  <c r="Q202" i="41"/>
  <c r="Q201" i="41"/>
  <c r="Q200" i="41"/>
  <c r="P199" i="41"/>
  <c r="P201" i="41"/>
  <c r="P200" i="41"/>
  <c r="AA42" i="41"/>
  <c r="H148" i="41"/>
  <c r="H150" i="41"/>
  <c r="Z42" i="41"/>
  <c r="Y164" i="41"/>
  <c r="H149" i="41"/>
  <c r="Y163" i="41"/>
  <c r="Y162" i="41"/>
  <c r="H152" i="41"/>
  <c r="H151" i="41"/>
  <c r="W87" i="40"/>
  <c r="W89" i="40"/>
  <c r="V49" i="40"/>
  <c r="W36" i="40"/>
  <c r="W65" i="40"/>
  <c r="W75" i="40"/>
  <c r="W78" i="40"/>
  <c r="W64" i="40"/>
  <c r="W136" i="40"/>
  <c r="W135" i="40"/>
  <c r="W134" i="40"/>
  <c r="W76" i="40"/>
  <c r="W137" i="40"/>
  <c r="W63" i="40"/>
  <c r="W62" i="40"/>
  <c r="W77" i="40"/>
  <c r="U98" i="40"/>
  <c r="Y122" i="40"/>
  <c r="V110" i="40"/>
  <c r="V122" i="40"/>
  <c r="Z122" i="40"/>
  <c r="X98" i="40"/>
  <c r="Z98" i="40"/>
  <c r="Z110" i="40"/>
  <c r="Y110" i="40"/>
  <c r="W98" i="40"/>
  <c r="AA98" i="40"/>
  <c r="V98" i="40"/>
  <c r="U110" i="40"/>
  <c r="X122" i="40"/>
  <c r="W110" i="40"/>
  <c r="U122" i="40"/>
  <c r="Y98" i="40"/>
  <c r="W122" i="40"/>
  <c r="X110" i="40"/>
  <c r="AA110" i="40"/>
  <c r="AA122" i="40"/>
  <c r="F90" i="40"/>
  <c r="J90" i="40"/>
  <c r="I78" i="40"/>
  <c r="J78" i="40"/>
  <c r="J114" i="40"/>
  <c r="I102" i="40"/>
  <c r="G102" i="40"/>
  <c r="G78" i="40"/>
  <c r="H90" i="40"/>
  <c r="G114" i="40"/>
  <c r="J102" i="40"/>
  <c r="I90" i="40"/>
  <c r="H102" i="40"/>
  <c r="F114" i="40"/>
  <c r="H114" i="40"/>
  <c r="H78" i="40"/>
  <c r="AA161" i="40"/>
  <c r="AA160" i="40"/>
  <c r="AA159" i="40"/>
  <c r="AA162" i="40"/>
  <c r="AA166" i="40"/>
  <c r="AA165" i="40"/>
  <c r="AA164" i="40"/>
  <c r="AA163" i="40"/>
  <c r="Z53" i="40"/>
  <c r="Z40" i="40"/>
  <c r="W161" i="40"/>
  <c r="AA102" i="40"/>
  <c r="Y126" i="40"/>
  <c r="Z114" i="40"/>
  <c r="Z102" i="40"/>
  <c r="Y114" i="40"/>
  <c r="Y102" i="40"/>
  <c r="AA126" i="40"/>
  <c r="Z126" i="40"/>
  <c r="AA114" i="40"/>
  <c r="AA40" i="40"/>
  <c r="AA53" i="40"/>
  <c r="W160" i="40"/>
  <c r="W159" i="40"/>
  <c r="Y40" i="40"/>
  <c r="Y53" i="40"/>
  <c r="W162" i="40"/>
  <c r="Y103" i="35"/>
  <c r="AA115" i="35"/>
  <c r="U110" i="35"/>
  <c r="W98" i="35"/>
  <c r="AA122" i="35"/>
  <c r="AA110" i="35"/>
  <c r="V98" i="35"/>
  <c r="X110" i="35"/>
  <c r="W122" i="35"/>
  <c r="V110" i="35"/>
  <c r="V122" i="35"/>
  <c r="X98" i="35"/>
  <c r="Z110" i="35"/>
  <c r="Z98" i="35"/>
  <c r="AA98" i="35"/>
  <c r="Y122" i="35"/>
  <c r="X122" i="35"/>
  <c r="U122" i="35"/>
  <c r="Y98" i="35"/>
  <c r="W110" i="35"/>
  <c r="Z122" i="35"/>
  <c r="U98" i="35"/>
  <c r="Y110" i="35"/>
  <c r="W111" i="35"/>
  <c r="Y99" i="35"/>
  <c r="AA30" i="35"/>
  <c r="Z30" i="35"/>
  <c r="Z29" i="35"/>
  <c r="AA29" i="35"/>
  <c r="Y29" i="35"/>
  <c r="Z28" i="35"/>
  <c r="AA28" i="35"/>
  <c r="Y28" i="35"/>
  <c r="AA27" i="35"/>
  <c r="Z27" i="35"/>
  <c r="Y27" i="35"/>
  <c r="X27" i="35"/>
  <c r="W27" i="35"/>
  <c r="AA26" i="35"/>
  <c r="Z26" i="35"/>
  <c r="Y26" i="35"/>
  <c r="X26" i="35"/>
  <c r="W26" i="35"/>
  <c r="V26" i="35"/>
  <c r="X25" i="35"/>
  <c r="W25" i="35"/>
  <c r="AA25" i="35"/>
  <c r="Z25" i="35"/>
  <c r="Y25" i="35"/>
  <c r="U25" i="35"/>
  <c r="V25" i="35"/>
  <c r="AA24" i="35"/>
  <c r="Z24" i="35"/>
  <c r="Y24" i="35"/>
  <c r="X24" i="35"/>
  <c r="W24" i="35"/>
  <c r="V24" i="35"/>
  <c r="U24" i="35"/>
</calcChain>
</file>

<file path=xl/sharedStrings.xml><?xml version="1.0" encoding="utf-8"?>
<sst xmlns="http://schemas.openxmlformats.org/spreadsheetml/2006/main" count="2627" uniqueCount="140">
  <si>
    <t>Processing</t>
  </si>
  <si>
    <t>P1(A)</t>
  </si>
  <si>
    <t>P1(B)</t>
  </si>
  <si>
    <t>P2</t>
  </si>
  <si>
    <t>P3</t>
  </si>
  <si>
    <t>P4</t>
  </si>
  <si>
    <t>P5</t>
  </si>
  <si>
    <t>P6</t>
  </si>
  <si>
    <t>P7(A)</t>
  </si>
  <si>
    <t>P7(B)</t>
  </si>
  <si>
    <t>P8</t>
  </si>
  <si>
    <t>P9</t>
  </si>
  <si>
    <t>P10</t>
  </si>
  <si>
    <t>P11</t>
  </si>
  <si>
    <t>P12</t>
  </si>
  <si>
    <t>P13</t>
  </si>
  <si>
    <t>Job1</t>
  </si>
  <si>
    <t>starting</t>
  </si>
  <si>
    <t>Job2</t>
  </si>
  <si>
    <t>job7</t>
  </si>
  <si>
    <t>job 8</t>
  </si>
  <si>
    <t>completion</t>
  </si>
  <si>
    <t>Starting</t>
  </si>
  <si>
    <t>job 9</t>
  </si>
  <si>
    <t>job 10</t>
  </si>
  <si>
    <t>c1</t>
  </si>
  <si>
    <t>Job3</t>
  </si>
  <si>
    <t>job5</t>
  </si>
  <si>
    <t>job3</t>
  </si>
  <si>
    <t>job6</t>
  </si>
  <si>
    <t>job4</t>
  </si>
  <si>
    <t>j1</t>
  </si>
  <si>
    <t>j2</t>
  </si>
  <si>
    <t>j3</t>
  </si>
  <si>
    <t>2,3</t>
  </si>
  <si>
    <t>1,3</t>
  </si>
  <si>
    <t>binaries</t>
  </si>
  <si>
    <t>3,1</t>
  </si>
  <si>
    <t>3,2</t>
  </si>
  <si>
    <t>1,4</t>
  </si>
  <si>
    <t>4,1</t>
  </si>
  <si>
    <t>2,4</t>
  </si>
  <si>
    <t>3,4</t>
  </si>
  <si>
    <t>4,2</t>
  </si>
  <si>
    <t>4,3</t>
  </si>
  <si>
    <t>j4</t>
  </si>
  <si>
    <t>(2,1)</t>
  </si>
  <si>
    <t>(1,2)</t>
  </si>
  <si>
    <t>1,2</t>
  </si>
  <si>
    <t>(3,1)</t>
  </si>
  <si>
    <t>(3,2)</t>
  </si>
  <si>
    <t>(1,3)</t>
  </si>
  <si>
    <t>(2,3)</t>
  </si>
  <si>
    <t>joob4</t>
  </si>
  <si>
    <t>clip4</t>
  </si>
  <si>
    <t>(4,1)</t>
  </si>
  <si>
    <t>(4,2)</t>
  </si>
  <si>
    <t>(4,3)</t>
  </si>
  <si>
    <t>(1,4)</t>
  </si>
  <si>
    <t>(2,4)</t>
  </si>
  <si>
    <t>(3,4)</t>
  </si>
  <si>
    <t>1, to 2</t>
  </si>
  <si>
    <t>2 to all clip</t>
  </si>
  <si>
    <t>joob5</t>
  </si>
  <si>
    <t>j5</t>
  </si>
  <si>
    <t>(5,1)</t>
  </si>
  <si>
    <t>(5,2)</t>
  </si>
  <si>
    <t>(5,3)</t>
  </si>
  <si>
    <t>(5,4)</t>
  </si>
  <si>
    <t>(2,5)</t>
  </si>
  <si>
    <t>(1,5)</t>
  </si>
  <si>
    <t>(3,5)</t>
  </si>
  <si>
    <t>(4,5)</t>
  </si>
  <si>
    <t>5,1</t>
  </si>
  <si>
    <t>5,2</t>
  </si>
  <si>
    <t>5,3</t>
  </si>
  <si>
    <t>5,4</t>
  </si>
  <si>
    <t>1,5</t>
  </si>
  <si>
    <t>2,5</t>
  </si>
  <si>
    <t>3,5</t>
  </si>
  <si>
    <t>4,5</t>
  </si>
  <si>
    <t>joob6</t>
  </si>
  <si>
    <t>j6</t>
  </si>
  <si>
    <t>(6,1)</t>
  </si>
  <si>
    <t>(6,2)</t>
  </si>
  <si>
    <t>(6,4)</t>
  </si>
  <si>
    <t>(6,3)</t>
  </si>
  <si>
    <t>(6,5)</t>
  </si>
  <si>
    <t>(2,6)</t>
  </si>
  <si>
    <t>(1,6)</t>
  </si>
  <si>
    <t>(3,6)</t>
  </si>
  <si>
    <t>(4,6)</t>
  </si>
  <si>
    <t>(5,6)</t>
  </si>
  <si>
    <t>6th clips</t>
  </si>
  <si>
    <t>c3</t>
  </si>
  <si>
    <t>c4</t>
  </si>
  <si>
    <t>objective</t>
  </si>
  <si>
    <t>one  clip1</t>
  </si>
  <si>
    <t>clip2</t>
  </si>
  <si>
    <t>clip3</t>
  </si>
  <si>
    <t>clip5</t>
  </si>
  <si>
    <t>clip6</t>
  </si>
  <si>
    <t>clips x and worker(one)</t>
  </si>
  <si>
    <t>cmax</t>
  </si>
  <si>
    <t>clip3 29.86</t>
  </si>
  <si>
    <t>clip4 37.76</t>
  </si>
  <si>
    <t>clip5 47.2</t>
  </si>
  <si>
    <t>clip 6 56.63999589</t>
  </si>
  <si>
    <t>batches( 8hours per day)</t>
  </si>
  <si>
    <t>batch round</t>
  </si>
  <si>
    <t>per hour salary for worker(18cad)</t>
  </si>
  <si>
    <t>i</t>
  </si>
  <si>
    <t>i+1</t>
  </si>
  <si>
    <t>j+1</t>
  </si>
  <si>
    <t>j</t>
  </si>
  <si>
    <t>clip 2</t>
  </si>
  <si>
    <t>clip 1</t>
  </si>
  <si>
    <t xml:space="preserve">per clip hold 250 kg </t>
  </si>
  <si>
    <t>clip1</t>
  </si>
  <si>
    <t>output=10percent of actual input</t>
  </si>
  <si>
    <t>output</t>
  </si>
  <si>
    <t>clips</t>
  </si>
  <si>
    <t>purchasing  cost of input</t>
  </si>
  <si>
    <t>Revenue</t>
  </si>
  <si>
    <t>Profit</t>
  </si>
  <si>
    <t>Profit per unit</t>
  </si>
  <si>
    <t>purchasing cost</t>
  </si>
  <si>
    <t>selling cost</t>
  </si>
  <si>
    <t>Tasks</t>
  </si>
  <si>
    <t>Workbench</t>
  </si>
  <si>
    <t>Breaker</t>
  </si>
  <si>
    <t>Button</t>
  </si>
  <si>
    <t>Sctuching machine</t>
  </si>
  <si>
    <t xml:space="preserve">Moving output to hackler </t>
  </si>
  <si>
    <t>hackler</t>
  </si>
  <si>
    <t xml:space="preserve">Workbench  </t>
  </si>
  <si>
    <t>breaker</t>
  </si>
  <si>
    <r>
      <t>Scutching</t>
    </r>
    <r>
      <rPr>
        <b/>
        <sz val="11"/>
        <color theme="1"/>
        <rFont val="Calibri"/>
        <family val="2"/>
      </rPr>
      <t xml:space="preserve"> </t>
    </r>
    <r>
      <rPr>
        <sz val="11"/>
        <color rgb="FF000000"/>
        <rFont val="Aptos Narrow"/>
        <family val="2"/>
      </rPr>
      <t xml:space="preserve"> machine</t>
    </r>
  </si>
  <si>
    <t>Sequence</t>
  </si>
  <si>
    <t>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</si>
</sst>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CCCCCC"/>
      <name val="Consolas"/>
      <family val="3"/>
    </font>
    <font>
      <sz val="8"/>
      <color rgb="FF9CDCFE"/>
      <name val="Consolas"/>
      <family val="3"/>
    </font>
    <font>
      <sz val="11"/>
      <name val="Aptos Narrow"/>
      <family val="2"/>
      <scheme val="minor"/>
    </font>
    <font>
      <sz val="8"/>
      <color rgb="FF002060"/>
      <name val="Consolas"/>
      <family val="3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16" fontId="0" fillId="0" borderId="0" xfId="0" applyNumberFormat="1"/>
    <xf numFmtId="0" fontId="0" fillId="2" borderId="1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  <xf numFmtId="0" fontId="0" fillId="3" borderId="4" xfId="0" applyFill="1" applyBorder="1"/>
    <xf numFmtId="0" fontId="0" fillId="0" borderId="6" xfId="0" applyBorder="1"/>
    <xf numFmtId="0" fontId="0" fillId="0" borderId="3" xfId="0" applyBorder="1"/>
    <xf numFmtId="0" fontId="0" fillId="3" borderId="1" xfId="0" applyFill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0" fillId="5" borderId="1" xfId="0" applyFill="1" applyBorder="1"/>
    <xf numFmtId="0" fontId="5" fillId="3" borderId="1" xfId="0" applyFont="1" applyFill="1" applyBorder="1"/>
    <xf numFmtId="0" fontId="0" fillId="0" borderId="8" xfId="0" applyBorder="1"/>
    <xf numFmtId="0" fontId="0" fillId="2" borderId="3" xfId="0" applyFill="1" applyBorder="1"/>
    <xf numFmtId="0" fontId="0" fillId="6" borderId="0" xfId="0" applyFill="1"/>
    <xf numFmtId="0" fontId="0" fillId="2" borderId="2" xfId="0" applyFill="1" applyBorder="1"/>
    <xf numFmtId="0" fontId="6" fillId="0" borderId="1" xfId="0" applyFont="1" applyBorder="1" applyAlignment="1">
      <alignment vertical="center"/>
    </xf>
    <xf numFmtId="0" fontId="0" fillId="4" borderId="1" xfId="0" applyFill="1" applyBorder="1"/>
    <xf numFmtId="0" fontId="0" fillId="7" borderId="0" xfId="0" applyFill="1"/>
    <xf numFmtId="0" fontId="0" fillId="7" borderId="1" xfId="0" applyFill="1" applyBorder="1"/>
    <xf numFmtId="0" fontId="2" fillId="8" borderId="0" xfId="0" applyFont="1" applyFill="1"/>
    <xf numFmtId="0" fontId="2" fillId="8" borderId="1" xfId="0" applyFont="1" applyFill="1" applyBorder="1"/>
    <xf numFmtId="0" fontId="5" fillId="0" borderId="0" xfId="0" applyFont="1"/>
    <xf numFmtId="0" fontId="0" fillId="0" borderId="7" xfId="0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8" borderId="1" xfId="0" applyFill="1" applyBorder="1"/>
    <xf numFmtId="0" fontId="0" fillId="8" borderId="0" xfId="0" applyFill="1"/>
    <xf numFmtId="0" fontId="0" fillId="12" borderId="1" xfId="0" applyFill="1" applyBorder="1"/>
    <xf numFmtId="0" fontId="0" fillId="12" borderId="0" xfId="0" applyFill="1"/>
    <xf numFmtId="0" fontId="0" fillId="10" borderId="0" xfId="0" applyFill="1"/>
    <xf numFmtId="0" fontId="0" fillId="9" borderId="0" xfId="0" applyFill="1"/>
    <xf numFmtId="0" fontId="0" fillId="13" borderId="1" xfId="0" applyFill="1" applyBorder="1"/>
    <xf numFmtId="0" fontId="0" fillId="13" borderId="0" xfId="0" applyFill="1"/>
    <xf numFmtId="0" fontId="0" fillId="2" borderId="7" xfId="0" applyFill="1" applyBorder="1"/>
    <xf numFmtId="0" fontId="0" fillId="14" borderId="0" xfId="0" applyFill="1"/>
    <xf numFmtId="0" fontId="0" fillId="5" borderId="0" xfId="0" applyFill="1"/>
    <xf numFmtId="0" fontId="0" fillId="0" borderId="1" xfId="0" applyFill="1" applyBorder="1"/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5870516185479"/>
          <c:y val="2.7777777777777776E-2"/>
          <c:w val="0.85864129483814522"/>
          <c:h val="0.73614173228346458"/>
        </c:manualLayout>
      </c:layout>
      <c:scatterChart>
        <c:scatterStyle val="lineMarker"/>
        <c:varyColors val="0"/>
        <c:ser>
          <c:idx val="0"/>
          <c:order val="0"/>
          <c:tx>
            <c:v>After improvements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Sheet1!$J$13:$J$18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Sheet1!$K$13:$K$18</c:f>
              <c:numCache>
                <c:formatCode>General</c:formatCode>
                <c:ptCount val="6"/>
                <c:pt idx="0">
                  <c:v>775</c:v>
                </c:pt>
                <c:pt idx="1">
                  <c:v>2600</c:v>
                </c:pt>
                <c:pt idx="2">
                  <c:v>4275.0000000000009</c:v>
                </c:pt>
                <c:pt idx="3">
                  <c:v>6000</c:v>
                </c:pt>
                <c:pt idx="4">
                  <c:v>7500</c:v>
                </c:pt>
                <c:pt idx="5">
                  <c:v>9000.0000000000018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B7-4B61-94EC-E15E08F72E5F}"/>
            </c:ext>
          </c:extLst>
        </c:ser>
        <c:ser>
          <c:idx val="1"/>
          <c:order val="1"/>
          <c:tx>
            <c:v>Before improvements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Sheet1!$J$13:$J$18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Sheet1!$L$13:$L$18</c:f>
              <c:numCache>
                <c:formatCode>General</c:formatCode>
                <c:ptCount val="6"/>
                <c:pt idx="0">
                  <c:v>675</c:v>
                </c:pt>
                <c:pt idx="1">
                  <c:v>2300</c:v>
                </c:pt>
                <c:pt idx="2">
                  <c:v>3600.0000000000005</c:v>
                </c:pt>
                <c:pt idx="3">
                  <c:v>4800</c:v>
                </c:pt>
                <c:pt idx="4">
                  <c:v>6250</c:v>
                </c:pt>
                <c:pt idx="5">
                  <c:v>7200.0000000000009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B7-4B61-94EC-E15E08F72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402240"/>
        <c:axId val="844869856"/>
      </c:scatterChart>
      <c:valAx>
        <c:axId val="58840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869856"/>
        <c:crosses val="autoZero"/>
        <c:crossBetween val="midCat"/>
      </c:valAx>
      <c:valAx>
        <c:axId val="8448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0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0</xdr:row>
      <xdr:rowOff>140970</xdr:rowOff>
    </xdr:from>
    <xdr:to>
      <xdr:col>16</xdr:col>
      <xdr:colOff>441960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790F1-3A5F-1478-DD69-2D68AA40D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864C-78B1-41F8-96A4-5C17EAD3129B}">
  <dimension ref="A1:BR145"/>
  <sheetViews>
    <sheetView tabSelected="1" topLeftCell="A90" zoomScale="68" zoomScaleNormal="68" workbookViewId="0">
      <selection activeCell="O100" sqref="O100:Q115"/>
    </sheetView>
  </sheetViews>
  <sheetFormatPr defaultRowHeight="14.4" x14ac:dyDescent="0.3"/>
  <cols>
    <col min="2" max="2" width="13.6640625" bestFit="1" customWidth="1"/>
    <col min="3" max="3" width="13.33203125" bestFit="1" customWidth="1"/>
    <col min="18" max="18" width="12.5546875" bestFit="1" customWidth="1"/>
    <col min="21" max="21" width="14.33203125" bestFit="1" customWidth="1"/>
    <col min="32" max="32" width="13.21875" bestFit="1" customWidth="1"/>
  </cols>
  <sheetData>
    <row r="1" spans="1:70" x14ac:dyDescent="0.3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6" t="s">
        <v>15</v>
      </c>
      <c r="R1" s="3" t="s">
        <v>1</v>
      </c>
      <c r="S1" s="3" t="s">
        <v>2</v>
      </c>
      <c r="T1" s="3" t="s">
        <v>4</v>
      </c>
      <c r="U1" s="3" t="s">
        <v>6</v>
      </c>
      <c r="V1" s="3" t="s">
        <v>8</v>
      </c>
      <c r="W1" s="3" t="s">
        <v>9</v>
      </c>
      <c r="X1" s="3" t="s">
        <v>11</v>
      </c>
      <c r="Y1" s="3" t="s">
        <v>13</v>
      </c>
      <c r="Z1" s="3" t="s">
        <v>15</v>
      </c>
      <c r="AG1" t="s">
        <v>36</v>
      </c>
    </row>
    <row r="2" spans="1:70" x14ac:dyDescent="0.3">
      <c r="A2" s="1" t="s">
        <v>16</v>
      </c>
      <c r="B2" s="1">
        <v>0</v>
      </c>
      <c r="C2" s="1">
        <v>2.23</v>
      </c>
      <c r="D2" s="1">
        <v>1.34</v>
      </c>
      <c r="E2" s="1">
        <v>0.12</v>
      </c>
      <c r="F2" s="1">
        <v>0.77</v>
      </c>
      <c r="G2" s="1">
        <v>0.12</v>
      </c>
      <c r="H2" s="1">
        <v>2</v>
      </c>
      <c r="I2" s="1">
        <v>0.2</v>
      </c>
      <c r="J2" s="1">
        <v>2</v>
      </c>
      <c r="K2" s="1">
        <v>1.34</v>
      </c>
      <c r="L2" s="1">
        <v>0.12</v>
      </c>
      <c r="M2" s="1">
        <v>0.77</v>
      </c>
      <c r="N2" s="1">
        <v>0.12</v>
      </c>
      <c r="O2" s="1">
        <v>2</v>
      </c>
      <c r="P2" s="1">
        <v>2.25</v>
      </c>
      <c r="Q2" t="s">
        <v>31</v>
      </c>
      <c r="R2" s="1">
        <f t="shared" ref="R2:S4" si="0">B16</f>
        <v>0</v>
      </c>
      <c r="S2" s="1">
        <f t="shared" si="0"/>
        <v>0</v>
      </c>
      <c r="T2" s="1">
        <f>E16</f>
        <v>3.57</v>
      </c>
      <c r="U2" s="1">
        <f>G16</f>
        <v>4.5800000000000196</v>
      </c>
      <c r="V2" s="1">
        <f t="shared" ref="V2:W4" si="1">I16</f>
        <v>6.7</v>
      </c>
      <c r="W2" s="1">
        <f t="shared" si="1"/>
        <v>7.0200000000000804</v>
      </c>
      <c r="X2" s="1">
        <f>L16</f>
        <v>10.360000000000101</v>
      </c>
      <c r="Y2" s="1">
        <f>N16</f>
        <v>11.340000000000099</v>
      </c>
      <c r="Z2" s="1">
        <f>P16</f>
        <v>13.690000000000101</v>
      </c>
      <c r="AA2" t="s">
        <v>17</v>
      </c>
      <c r="AD2" s="6" t="s">
        <v>4</v>
      </c>
      <c r="AE2" s="6" t="s">
        <v>6</v>
      </c>
      <c r="AF2" s="6" t="s">
        <v>8</v>
      </c>
      <c r="AG2" s="6" t="s">
        <v>9</v>
      </c>
      <c r="AH2" s="6" t="s">
        <v>11</v>
      </c>
      <c r="AI2" s="6" t="s">
        <v>13</v>
      </c>
      <c r="AJ2" s="6" t="s">
        <v>15</v>
      </c>
      <c r="AL2" s="6" t="s">
        <v>4</v>
      </c>
      <c r="AM2" s="6" t="s">
        <v>6</v>
      </c>
      <c r="AN2" s="6" t="s">
        <v>8</v>
      </c>
      <c r="AO2" s="6" t="s">
        <v>9</v>
      </c>
      <c r="AP2" s="6" t="s">
        <v>11</v>
      </c>
      <c r="AQ2" s="6" t="s">
        <v>13</v>
      </c>
      <c r="AR2" s="6" t="s">
        <v>15</v>
      </c>
      <c r="AT2" s="6" t="s">
        <v>6</v>
      </c>
      <c r="AU2" s="6" t="s">
        <v>8</v>
      </c>
      <c r="AV2" s="6" t="s">
        <v>9</v>
      </c>
      <c r="AW2" s="6" t="s">
        <v>11</v>
      </c>
      <c r="AX2" s="6" t="s">
        <v>13</v>
      </c>
      <c r="AY2" s="6" t="s">
        <v>15</v>
      </c>
      <c r="BA2" s="6" t="s">
        <v>8</v>
      </c>
      <c r="BB2" s="6" t="s">
        <v>9</v>
      </c>
      <c r="BC2" s="6" t="s">
        <v>11</v>
      </c>
      <c r="BD2" s="6" t="s">
        <v>13</v>
      </c>
      <c r="BE2" s="6" t="s">
        <v>15</v>
      </c>
      <c r="BG2" s="6" t="s">
        <v>11</v>
      </c>
      <c r="BH2" s="6" t="s">
        <v>13</v>
      </c>
      <c r="BI2" s="6" t="s">
        <v>15</v>
      </c>
      <c r="BK2" s="6" t="s">
        <v>11</v>
      </c>
      <c r="BL2" s="6" t="s">
        <v>13</v>
      </c>
      <c r="BM2" s="6" t="s">
        <v>15</v>
      </c>
      <c r="BO2" s="6" t="s">
        <v>13</v>
      </c>
      <c r="BP2" s="6" t="s">
        <v>15</v>
      </c>
      <c r="BR2" s="6" t="s">
        <v>15</v>
      </c>
    </row>
    <row r="3" spans="1:70" x14ac:dyDescent="0.3">
      <c r="A3" s="1" t="s">
        <v>18</v>
      </c>
      <c r="B3" s="1">
        <v>1.339999999999979</v>
      </c>
      <c r="C3" s="1">
        <v>0.890000000000021</v>
      </c>
      <c r="D3" s="1">
        <v>1.34</v>
      </c>
      <c r="E3" s="1">
        <v>0.12</v>
      </c>
      <c r="F3" s="1">
        <v>0.77</v>
      </c>
      <c r="G3" s="1">
        <v>0.12</v>
      </c>
      <c r="H3" s="1">
        <v>2</v>
      </c>
      <c r="I3" s="1">
        <v>1.3399999999999541</v>
      </c>
      <c r="J3" s="1">
        <v>0.86000000000004595</v>
      </c>
      <c r="K3" s="1">
        <v>1.34</v>
      </c>
      <c r="L3" s="1">
        <v>0.12</v>
      </c>
      <c r="M3" s="1">
        <v>0.77</v>
      </c>
      <c r="N3" s="1">
        <v>0.12</v>
      </c>
      <c r="O3" s="1">
        <v>2</v>
      </c>
      <c r="P3" s="1">
        <v>2.25</v>
      </c>
      <c r="Q3" t="s">
        <v>32</v>
      </c>
      <c r="R3" s="1">
        <f t="shared" si="0"/>
        <v>2.23</v>
      </c>
      <c r="S3" s="1">
        <f t="shared" si="0"/>
        <v>3.69</v>
      </c>
      <c r="T3" s="1">
        <f>E17</f>
        <v>6.01000000000007</v>
      </c>
      <c r="U3" s="1">
        <f>G17</f>
        <v>6.9</v>
      </c>
      <c r="V3" s="1">
        <f t="shared" si="1"/>
        <v>9.0200000000000706</v>
      </c>
      <c r="W3" s="1">
        <f t="shared" si="1"/>
        <v>10.4800000000001</v>
      </c>
      <c r="X3" s="1">
        <f>L17</f>
        <v>12.680000000000099</v>
      </c>
      <c r="Y3" s="1">
        <f>N17</f>
        <v>13.570000000000096</v>
      </c>
      <c r="Z3" s="1">
        <f>P17</f>
        <v>15.940000000000101</v>
      </c>
      <c r="AC3" s="25" t="s">
        <v>46</v>
      </c>
      <c r="AD3" s="26">
        <v>1</v>
      </c>
      <c r="AE3" s="26">
        <v>1</v>
      </c>
      <c r="AF3" s="26">
        <v>1</v>
      </c>
      <c r="AG3" s="26">
        <v>1</v>
      </c>
      <c r="AH3" s="26">
        <v>1</v>
      </c>
      <c r="AI3" s="26">
        <v>1</v>
      </c>
      <c r="AJ3" s="26">
        <v>1</v>
      </c>
      <c r="AK3" s="25"/>
      <c r="AL3" s="26">
        <v>0</v>
      </c>
      <c r="AM3" s="26">
        <v>1</v>
      </c>
      <c r="AN3" s="26">
        <v>1</v>
      </c>
      <c r="AO3" s="26">
        <v>1</v>
      </c>
      <c r="AP3" s="26">
        <v>1</v>
      </c>
      <c r="AQ3" s="26">
        <v>1</v>
      </c>
      <c r="AR3" s="26">
        <v>1</v>
      </c>
      <c r="AS3" s="25"/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6">
        <v>1</v>
      </c>
      <c r="AZ3" s="25"/>
      <c r="BA3" s="26">
        <v>0</v>
      </c>
      <c r="BB3" s="26">
        <v>1</v>
      </c>
      <c r="BC3" s="26">
        <v>1</v>
      </c>
      <c r="BD3" s="26">
        <v>1</v>
      </c>
      <c r="BE3" s="26">
        <v>1</v>
      </c>
      <c r="BF3" s="25"/>
      <c r="BG3" s="26">
        <v>1</v>
      </c>
      <c r="BH3" s="26">
        <v>1</v>
      </c>
      <c r="BI3" s="26">
        <v>1</v>
      </c>
      <c r="BJ3" s="25"/>
      <c r="BK3" s="26">
        <v>0</v>
      </c>
      <c r="BL3" s="26">
        <v>1</v>
      </c>
      <c r="BM3" s="26">
        <v>1</v>
      </c>
      <c r="BN3" s="25"/>
      <c r="BO3" s="26">
        <v>0</v>
      </c>
      <c r="BP3" s="26">
        <v>1</v>
      </c>
      <c r="BQ3" s="25"/>
      <c r="BR3" s="26">
        <v>1</v>
      </c>
    </row>
    <row r="4" spans="1:70" x14ac:dyDescent="0.3">
      <c r="A4" s="1"/>
      <c r="B4" s="1">
        <v>0</v>
      </c>
      <c r="C4" s="1">
        <v>0</v>
      </c>
      <c r="D4" s="1"/>
      <c r="E4" s="1"/>
      <c r="F4" s="1"/>
      <c r="G4" s="1"/>
      <c r="H4" s="1"/>
      <c r="I4" s="1">
        <v>0</v>
      </c>
      <c r="J4" s="1">
        <v>0</v>
      </c>
      <c r="K4" s="1"/>
      <c r="L4" s="1"/>
      <c r="M4" s="1"/>
      <c r="N4" s="1"/>
      <c r="O4" s="1"/>
      <c r="P4" s="1"/>
      <c r="R4" s="6">
        <f>B18</f>
        <v>0</v>
      </c>
      <c r="S4" s="6">
        <f t="shared" si="0"/>
        <v>0</v>
      </c>
      <c r="T4" s="6">
        <f>E18</f>
        <v>0</v>
      </c>
      <c r="U4" s="6">
        <f>G18</f>
        <v>0</v>
      </c>
      <c r="V4" s="6">
        <f t="shared" si="1"/>
        <v>0</v>
      </c>
      <c r="W4" s="6">
        <f t="shared" si="1"/>
        <v>0</v>
      </c>
      <c r="X4" s="6">
        <f>L18</f>
        <v>0</v>
      </c>
      <c r="Y4" s="6">
        <f>N18</f>
        <v>0</v>
      </c>
      <c r="Z4" s="6">
        <f>P18</f>
        <v>0</v>
      </c>
      <c r="AC4" s="25" t="s">
        <v>49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5"/>
      <c r="AL4" s="26">
        <v>0</v>
      </c>
      <c r="AM4" s="26">
        <v>0</v>
      </c>
      <c r="AN4" s="26">
        <v>0</v>
      </c>
      <c r="AO4" s="26">
        <v>0</v>
      </c>
      <c r="AP4" s="26">
        <v>0</v>
      </c>
      <c r="AQ4" s="26">
        <v>0</v>
      </c>
      <c r="AR4" s="26">
        <v>0</v>
      </c>
      <c r="AS4" s="25"/>
      <c r="AT4" s="26">
        <v>0</v>
      </c>
      <c r="AU4" s="26">
        <v>0</v>
      </c>
      <c r="AV4" s="26">
        <v>0</v>
      </c>
      <c r="AW4" s="26">
        <v>0</v>
      </c>
      <c r="AX4" s="26">
        <v>0</v>
      </c>
      <c r="AY4" s="26">
        <v>0</v>
      </c>
      <c r="AZ4" s="25"/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5"/>
      <c r="BG4" s="26">
        <v>0</v>
      </c>
      <c r="BH4" s="26">
        <v>0</v>
      </c>
      <c r="BI4" s="26">
        <v>0</v>
      </c>
      <c r="BJ4" s="25"/>
      <c r="BK4" s="26">
        <v>0</v>
      </c>
      <c r="BL4" s="26">
        <v>0</v>
      </c>
      <c r="BM4" s="26">
        <v>0</v>
      </c>
      <c r="BN4" s="25"/>
      <c r="BO4" s="26">
        <v>0</v>
      </c>
      <c r="BP4" s="26">
        <v>0</v>
      </c>
      <c r="BQ4" s="25"/>
      <c r="BR4" s="26">
        <v>0</v>
      </c>
    </row>
    <row r="5" spans="1:70" x14ac:dyDescent="0.3">
      <c r="AC5" t="s">
        <v>50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/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/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/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/>
      <c r="BG5" s="1">
        <v>0</v>
      </c>
      <c r="BH5" s="1">
        <v>0</v>
      </c>
      <c r="BI5" s="1">
        <v>0</v>
      </c>
      <c r="BJ5" s="1"/>
      <c r="BK5" s="1">
        <v>0</v>
      </c>
      <c r="BL5" s="1">
        <v>0</v>
      </c>
      <c r="BM5" s="1">
        <v>0</v>
      </c>
      <c r="BN5" s="1"/>
      <c r="BO5" s="1">
        <v>0</v>
      </c>
      <c r="BP5" s="1">
        <v>0</v>
      </c>
      <c r="BQ5" s="1"/>
      <c r="BR5" s="1">
        <v>0</v>
      </c>
    </row>
    <row r="6" spans="1:70" x14ac:dyDescent="0.3">
      <c r="A6" t="s">
        <v>118</v>
      </c>
      <c r="B6">
        <f>SUM(B2:P2)</f>
        <v>15.379999999999999</v>
      </c>
      <c r="K6">
        <f>2.25-1.34</f>
        <v>0.90999999999999992</v>
      </c>
      <c r="AC6" s="27" t="s">
        <v>47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/>
      <c r="AL6" s="28">
        <v>1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/>
      <c r="AT6" s="28">
        <v>1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/>
      <c r="BA6" s="28">
        <v>1</v>
      </c>
      <c r="BB6" s="28">
        <v>0</v>
      </c>
      <c r="BC6" s="28">
        <v>0</v>
      </c>
      <c r="BD6" s="28">
        <v>0</v>
      </c>
      <c r="BE6" s="28">
        <v>0</v>
      </c>
      <c r="BF6" s="28"/>
      <c r="BG6" s="28">
        <v>0</v>
      </c>
      <c r="BH6" s="28">
        <v>0</v>
      </c>
      <c r="BI6" s="28">
        <v>0</v>
      </c>
      <c r="BJ6" s="28"/>
      <c r="BK6" s="28">
        <v>1</v>
      </c>
      <c r="BL6" s="28">
        <v>0</v>
      </c>
      <c r="BM6" s="28">
        <v>0</v>
      </c>
      <c r="BN6" s="28"/>
      <c r="BO6" s="28">
        <v>1</v>
      </c>
      <c r="BP6" s="28">
        <v>0</v>
      </c>
      <c r="BQ6" s="28"/>
      <c r="BR6" s="28">
        <v>0</v>
      </c>
    </row>
    <row r="7" spans="1:70" x14ac:dyDescent="0.3">
      <c r="AC7" s="27" t="s">
        <v>51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7">
        <v>0</v>
      </c>
      <c r="AK7" s="27"/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7"/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7"/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7"/>
      <c r="BG7" s="28">
        <v>0</v>
      </c>
      <c r="BH7" s="28">
        <v>0</v>
      </c>
      <c r="BI7" s="28">
        <v>0</v>
      </c>
      <c r="BJ7" s="27"/>
      <c r="BK7" s="28">
        <v>0</v>
      </c>
      <c r="BL7" s="28">
        <v>0</v>
      </c>
      <c r="BM7" s="28">
        <v>0</v>
      </c>
      <c r="BN7" s="27"/>
      <c r="BO7" s="28">
        <v>0</v>
      </c>
      <c r="BP7" s="28">
        <v>0</v>
      </c>
      <c r="BQ7" s="27"/>
      <c r="BR7" s="28">
        <v>0</v>
      </c>
    </row>
    <row r="8" spans="1:70" x14ac:dyDescent="0.3">
      <c r="A8" t="s">
        <v>19</v>
      </c>
      <c r="B8" s="9">
        <f>SUM(B2:C2)</f>
        <v>2.23</v>
      </c>
      <c r="C8" s="9"/>
      <c r="I8" s="9">
        <f>SUM(I2:J2)</f>
        <v>2.2000000000000002</v>
      </c>
      <c r="J8" s="9"/>
      <c r="M8" t="s">
        <v>97</v>
      </c>
      <c r="N8">
        <f>SUM(B2:P2)</f>
        <v>15.379999999999999</v>
      </c>
      <c r="AC8" t="s">
        <v>52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G8" s="1">
        <v>0</v>
      </c>
      <c r="BH8" s="1">
        <v>0</v>
      </c>
      <c r="BI8" s="1">
        <v>0</v>
      </c>
      <c r="BK8" s="1">
        <v>0</v>
      </c>
      <c r="BL8" s="1">
        <v>0</v>
      </c>
      <c r="BM8" s="1">
        <v>0</v>
      </c>
      <c r="BO8" s="1">
        <v>0</v>
      </c>
      <c r="BP8" s="1">
        <v>0</v>
      </c>
      <c r="BR8" s="1">
        <v>0</v>
      </c>
    </row>
    <row r="9" spans="1:70" x14ac:dyDescent="0.3">
      <c r="A9" t="s">
        <v>20</v>
      </c>
      <c r="B9" s="10">
        <f>SUM(B3:C3)</f>
        <v>2.23</v>
      </c>
      <c r="C9" s="10"/>
      <c r="I9" s="9">
        <f t="shared" ref="I9:I10" si="2">SUM(I3:J3)</f>
        <v>2.2000000000000002</v>
      </c>
      <c r="J9" s="10"/>
      <c r="AD9" s="1"/>
      <c r="AE9" s="1"/>
      <c r="AF9" s="1"/>
      <c r="AG9" s="1"/>
      <c r="AH9" s="1"/>
      <c r="AI9" s="1"/>
      <c r="AJ9" s="1"/>
      <c r="AL9" s="1"/>
      <c r="AN9" s="1"/>
      <c r="AO9" s="1"/>
      <c r="AP9" s="1"/>
      <c r="AQ9" s="1"/>
      <c r="AR9" s="1"/>
      <c r="AT9" s="1"/>
      <c r="AU9" s="1"/>
      <c r="AV9" s="1"/>
      <c r="AW9" s="1"/>
      <c r="AX9" s="1"/>
      <c r="AY9" s="1"/>
      <c r="BA9" s="1"/>
      <c r="BB9" s="1"/>
      <c r="BC9" s="1"/>
      <c r="BD9" s="1"/>
      <c r="BE9" s="1"/>
      <c r="BG9" s="1"/>
      <c r="BH9" s="1"/>
      <c r="BI9" s="1"/>
      <c r="BK9" s="1"/>
      <c r="BL9" s="1"/>
      <c r="BM9" s="1"/>
      <c r="BO9" s="1"/>
      <c r="BP9" s="1"/>
      <c r="BR9" s="1"/>
    </row>
    <row r="10" spans="1:70" x14ac:dyDescent="0.3">
      <c r="A10" t="s">
        <v>28</v>
      </c>
      <c r="B10" s="9">
        <f>SUM(B4:C4)</f>
        <v>0</v>
      </c>
      <c r="C10" s="2"/>
      <c r="I10" s="9">
        <f t="shared" si="2"/>
        <v>0</v>
      </c>
      <c r="J10" s="2"/>
      <c r="AD10" s="34">
        <f>SUM(AD3,AD6)</f>
        <v>1</v>
      </c>
      <c r="AE10" s="34">
        <f t="shared" ref="AE10:BR10" si="3">SUM(AE3,AE6)</f>
        <v>1</v>
      </c>
      <c r="AF10" s="34">
        <f t="shared" si="3"/>
        <v>1</v>
      </c>
      <c r="AG10" s="34">
        <f t="shared" si="3"/>
        <v>1</v>
      </c>
      <c r="AH10" s="34">
        <f t="shared" si="3"/>
        <v>1</v>
      </c>
      <c r="AI10" s="34">
        <f t="shared" si="3"/>
        <v>1</v>
      </c>
      <c r="AJ10" s="34">
        <f t="shared" si="3"/>
        <v>1</v>
      </c>
      <c r="AK10" s="34">
        <f t="shared" si="3"/>
        <v>0</v>
      </c>
      <c r="AL10" s="34">
        <f t="shared" si="3"/>
        <v>1</v>
      </c>
      <c r="AM10" s="34">
        <f t="shared" si="3"/>
        <v>1</v>
      </c>
      <c r="AN10" s="34">
        <f t="shared" si="3"/>
        <v>1</v>
      </c>
      <c r="AO10" s="34">
        <f t="shared" si="3"/>
        <v>1</v>
      </c>
      <c r="AP10" s="34">
        <f t="shared" si="3"/>
        <v>1</v>
      </c>
      <c r="AQ10" s="34">
        <f t="shared" si="3"/>
        <v>1</v>
      </c>
      <c r="AR10" s="34">
        <f t="shared" si="3"/>
        <v>1</v>
      </c>
      <c r="AS10" s="34">
        <f t="shared" si="3"/>
        <v>0</v>
      </c>
      <c r="AT10" s="34">
        <f t="shared" si="3"/>
        <v>1</v>
      </c>
      <c r="AU10" s="34">
        <f t="shared" si="3"/>
        <v>1</v>
      </c>
      <c r="AV10" s="34">
        <f t="shared" si="3"/>
        <v>1</v>
      </c>
      <c r="AW10" s="34">
        <f t="shared" si="3"/>
        <v>1</v>
      </c>
      <c r="AX10" s="34">
        <f t="shared" si="3"/>
        <v>1</v>
      </c>
      <c r="AY10" s="34">
        <f t="shared" si="3"/>
        <v>1</v>
      </c>
      <c r="AZ10" s="34">
        <f t="shared" si="3"/>
        <v>0</v>
      </c>
      <c r="BA10" s="34">
        <f t="shared" si="3"/>
        <v>1</v>
      </c>
      <c r="BB10" s="34">
        <f t="shared" si="3"/>
        <v>1</v>
      </c>
      <c r="BC10" s="34">
        <f t="shared" si="3"/>
        <v>1</v>
      </c>
      <c r="BD10" s="34">
        <f t="shared" si="3"/>
        <v>1</v>
      </c>
      <c r="BE10" s="34">
        <f t="shared" si="3"/>
        <v>1</v>
      </c>
      <c r="BF10" s="34">
        <f t="shared" si="3"/>
        <v>0</v>
      </c>
      <c r="BG10" s="34">
        <f t="shared" si="3"/>
        <v>1</v>
      </c>
      <c r="BH10" s="34">
        <f t="shared" si="3"/>
        <v>1</v>
      </c>
      <c r="BI10" s="34">
        <f t="shared" si="3"/>
        <v>1</v>
      </c>
      <c r="BJ10" s="34">
        <f t="shared" si="3"/>
        <v>0</v>
      </c>
      <c r="BK10" s="34">
        <f t="shared" si="3"/>
        <v>1</v>
      </c>
      <c r="BL10" s="34">
        <f t="shared" si="3"/>
        <v>1</v>
      </c>
      <c r="BM10" s="34">
        <f t="shared" si="3"/>
        <v>1</v>
      </c>
      <c r="BN10" s="34">
        <f t="shared" si="3"/>
        <v>0</v>
      </c>
      <c r="BO10" s="34">
        <f t="shared" si="3"/>
        <v>1</v>
      </c>
      <c r="BP10" s="34">
        <f t="shared" si="3"/>
        <v>1</v>
      </c>
      <c r="BQ10" s="34">
        <f t="shared" si="3"/>
        <v>0</v>
      </c>
      <c r="BR10" s="34">
        <f t="shared" si="3"/>
        <v>1</v>
      </c>
    </row>
    <row r="11" spans="1:70" x14ac:dyDescent="0.3">
      <c r="B11" s="2"/>
      <c r="C11" s="2"/>
      <c r="I11" s="2"/>
      <c r="J11" s="2"/>
      <c r="AD11" s="1"/>
      <c r="AE11" s="1"/>
      <c r="AF11" s="1"/>
      <c r="AG11" s="1"/>
      <c r="AH11" s="1"/>
      <c r="AI11" s="1"/>
      <c r="AJ11" s="1"/>
      <c r="AL11" s="1"/>
      <c r="AM11" s="1"/>
      <c r="AN11" s="1"/>
      <c r="AO11" s="1"/>
      <c r="AP11" s="1"/>
      <c r="AQ11" s="1"/>
      <c r="AR11" s="1"/>
      <c r="AT11" s="1"/>
      <c r="AU11" s="1"/>
      <c r="AV11" s="1"/>
      <c r="AW11" s="1"/>
      <c r="AX11" s="1"/>
      <c r="AY11" s="1"/>
      <c r="BA11" s="1"/>
      <c r="BB11" s="1"/>
      <c r="BC11" s="1"/>
      <c r="BD11" s="1"/>
      <c r="BE11" s="1"/>
      <c r="BG11" s="1"/>
      <c r="BH11" s="1"/>
      <c r="BI11" s="1"/>
      <c r="BK11" s="1"/>
      <c r="BL11" s="1"/>
      <c r="BM11" s="1"/>
      <c r="BO11" s="1"/>
      <c r="BP11" s="1"/>
      <c r="BR11" s="1"/>
    </row>
    <row r="12" spans="1:70" x14ac:dyDescent="0.3">
      <c r="B12" s="2"/>
      <c r="C12" s="2"/>
      <c r="I12" s="2"/>
      <c r="J12" s="2"/>
      <c r="AD12" s="1"/>
      <c r="AE12" s="1"/>
      <c r="AF12" s="1"/>
      <c r="AG12" s="1"/>
      <c r="AH12" s="1"/>
      <c r="AI12" s="1"/>
      <c r="AJ12" s="1"/>
      <c r="AL12" s="1"/>
      <c r="AM12" s="1"/>
      <c r="AN12" s="1"/>
      <c r="AO12" s="1"/>
      <c r="AP12" s="1"/>
      <c r="AQ12" s="1"/>
      <c r="AR12" s="1"/>
      <c r="AT12" s="1"/>
      <c r="AU12" s="1"/>
      <c r="AV12" s="1"/>
      <c r="AW12" s="1"/>
      <c r="AX12" s="1"/>
      <c r="AY12" s="1"/>
      <c r="BA12" s="1"/>
      <c r="BB12" s="1"/>
      <c r="BC12" s="1"/>
      <c r="BD12" s="1"/>
      <c r="BE12" s="1"/>
      <c r="BG12" s="1"/>
      <c r="BH12" s="1"/>
      <c r="BI12" s="1"/>
      <c r="BK12" s="1"/>
      <c r="BL12" s="1"/>
      <c r="BM12" s="1"/>
      <c r="BO12" s="1"/>
      <c r="BP12" s="1"/>
      <c r="BR12" s="1"/>
    </row>
    <row r="13" spans="1:70" x14ac:dyDescent="0.3">
      <c r="B13" s="2"/>
      <c r="C13" s="2"/>
      <c r="I13" s="2"/>
      <c r="J13" s="2"/>
      <c r="AA13" t="s">
        <v>21</v>
      </c>
      <c r="AD13" s="1"/>
      <c r="AE13" s="1"/>
      <c r="AF13" s="1"/>
      <c r="AG13" s="1"/>
      <c r="AH13" s="1"/>
      <c r="AI13" s="1"/>
      <c r="AJ13" s="1"/>
      <c r="AL13" s="1"/>
      <c r="AM13" s="1"/>
      <c r="AN13" s="1"/>
      <c r="AO13" s="1"/>
      <c r="AP13" s="1"/>
      <c r="AQ13" s="1"/>
      <c r="AR13" s="1"/>
      <c r="AT13" s="1"/>
      <c r="AU13" s="1"/>
      <c r="AV13" s="1"/>
      <c r="AW13" s="1"/>
      <c r="AX13" s="1"/>
      <c r="AY13" s="1"/>
      <c r="BA13" s="1"/>
      <c r="BB13" s="1"/>
      <c r="BC13" s="1"/>
      <c r="BD13" s="1"/>
      <c r="BE13" s="1"/>
      <c r="BG13" s="1"/>
      <c r="BH13" s="1"/>
      <c r="BI13" s="1"/>
      <c r="BK13" s="1"/>
      <c r="BL13" s="1"/>
      <c r="BM13" s="1"/>
      <c r="BO13" s="1"/>
      <c r="BP13" s="1"/>
      <c r="BR13" s="1"/>
    </row>
    <row r="14" spans="1:70" x14ac:dyDescent="0.3">
      <c r="A14" t="s">
        <v>22</v>
      </c>
      <c r="D14" s="43"/>
      <c r="G14" s="44"/>
      <c r="AD14" s="1"/>
      <c r="AE14" s="1"/>
      <c r="AF14" s="1"/>
      <c r="AG14" s="1"/>
      <c r="AH14" s="1"/>
      <c r="AI14" s="1"/>
      <c r="AJ14" s="1"/>
      <c r="AL14" s="1"/>
      <c r="AM14" s="1"/>
      <c r="AN14" s="1"/>
      <c r="AO14" s="1"/>
      <c r="AP14" s="1"/>
      <c r="AQ14" s="1"/>
      <c r="AR14" s="1"/>
      <c r="AT14" s="1"/>
      <c r="AU14" s="1"/>
      <c r="AV14" s="1"/>
      <c r="AW14" s="1"/>
      <c r="AX14" s="1"/>
      <c r="AY14" s="1"/>
      <c r="BA14" s="1"/>
      <c r="BB14" s="1"/>
      <c r="BC14" s="1"/>
      <c r="BD14" s="1"/>
      <c r="BE14" s="1"/>
      <c r="BG14" s="1"/>
      <c r="BH14" s="1"/>
      <c r="BI14" s="1"/>
      <c r="BK14" s="1"/>
      <c r="BL14" s="1"/>
      <c r="BM14" s="1"/>
      <c r="BO14" s="1"/>
      <c r="BP14" s="1"/>
      <c r="BR14" s="1"/>
    </row>
    <row r="15" spans="1:70" x14ac:dyDescent="0.3">
      <c r="B15" s="3" t="s">
        <v>1</v>
      </c>
      <c r="C15" s="3" t="s">
        <v>2</v>
      </c>
      <c r="D15" t="s">
        <v>3</v>
      </c>
      <c r="E15" s="3" t="s">
        <v>4</v>
      </c>
      <c r="F15" t="s">
        <v>5</v>
      </c>
      <c r="G15" s="3" t="s">
        <v>6</v>
      </c>
      <c r="H15" t="s">
        <v>7</v>
      </c>
      <c r="I15" s="3" t="s">
        <v>8</v>
      </c>
      <c r="J15" s="3" t="s">
        <v>9</v>
      </c>
      <c r="K15" t="s">
        <v>10</v>
      </c>
      <c r="L15" s="3" t="s">
        <v>11</v>
      </c>
      <c r="M15" t="s">
        <v>12</v>
      </c>
      <c r="N15" s="3" t="s">
        <v>13</v>
      </c>
      <c r="O15" t="s">
        <v>14</v>
      </c>
      <c r="P15" s="3" t="s">
        <v>15</v>
      </c>
      <c r="R15" s="3" t="s">
        <v>1</v>
      </c>
      <c r="S15" s="3" t="s">
        <v>2</v>
      </c>
      <c r="T15" s="3" t="s">
        <v>4</v>
      </c>
      <c r="U15" s="3" t="s">
        <v>6</v>
      </c>
      <c r="V15" s="3" t="s">
        <v>8</v>
      </c>
      <c r="W15" s="3" t="s">
        <v>9</v>
      </c>
      <c r="X15" s="3" t="s">
        <v>11</v>
      </c>
      <c r="Y15" s="3" t="s">
        <v>13</v>
      </c>
      <c r="Z15" s="3" t="s">
        <v>15</v>
      </c>
      <c r="AD15" s="1"/>
      <c r="AE15" s="1"/>
      <c r="AF15" s="1"/>
      <c r="AG15" s="1"/>
      <c r="AH15" s="1"/>
      <c r="AI15" s="1"/>
      <c r="AJ15" s="1"/>
      <c r="AL15" s="1"/>
      <c r="AM15" s="1"/>
      <c r="AN15" s="1"/>
      <c r="AO15" s="1"/>
      <c r="AP15" s="1"/>
      <c r="AQ15" s="1"/>
      <c r="AR15" s="1"/>
      <c r="AT15" s="1"/>
      <c r="AU15" s="1"/>
      <c r="AV15" s="1"/>
      <c r="AW15" s="1"/>
      <c r="AX15" s="1"/>
      <c r="AY15" s="1"/>
      <c r="BA15" s="1"/>
      <c r="BB15" s="1"/>
      <c r="BC15" s="1"/>
      <c r="BD15" s="1"/>
      <c r="BE15" s="1"/>
      <c r="BG15" s="1"/>
      <c r="BH15" s="1"/>
      <c r="BI15" s="1"/>
      <c r="BK15" s="1"/>
      <c r="BL15" s="1"/>
      <c r="BM15" s="1"/>
      <c r="BO15" s="1"/>
      <c r="BP15" s="1"/>
      <c r="BR15" s="1"/>
    </row>
    <row r="16" spans="1:70" x14ac:dyDescent="0.3">
      <c r="A16" s="1" t="s">
        <v>16</v>
      </c>
      <c r="B16" s="1">
        <v>0</v>
      </c>
      <c r="C16" s="1">
        <v>0</v>
      </c>
      <c r="D16" s="1">
        <v>2.23</v>
      </c>
      <c r="E16" s="1">
        <v>3.57</v>
      </c>
      <c r="F16" s="1">
        <v>3.69</v>
      </c>
      <c r="G16" s="1">
        <v>4.5800000000000196</v>
      </c>
      <c r="H16" s="1">
        <v>4.7</v>
      </c>
      <c r="I16" s="1">
        <v>6.7</v>
      </c>
      <c r="J16" s="1">
        <v>7.0200000000000804</v>
      </c>
      <c r="K16" s="1">
        <v>9.0200000000000706</v>
      </c>
      <c r="L16" s="1">
        <v>10.360000000000101</v>
      </c>
      <c r="M16" s="1">
        <v>10.4800000000001</v>
      </c>
      <c r="N16" s="17">
        <v>11.340000000000099</v>
      </c>
      <c r="O16" s="1">
        <v>11.460000000000099</v>
      </c>
      <c r="P16" s="1">
        <v>13.690000000000101</v>
      </c>
      <c r="Q16" s="22" t="s">
        <v>31</v>
      </c>
      <c r="R16" s="1">
        <f t="shared" ref="R16:S18" si="4">B30</f>
        <v>0</v>
      </c>
      <c r="S16" s="1">
        <f t="shared" si="4"/>
        <v>2.23</v>
      </c>
      <c r="T16" s="1">
        <f>E30</f>
        <v>3.69</v>
      </c>
      <c r="U16" s="1">
        <f>G30</f>
        <v>4.7000000000000197</v>
      </c>
      <c r="V16" s="1">
        <f t="shared" ref="V16:W18" si="5">I30</f>
        <v>6.9</v>
      </c>
      <c r="W16" s="1">
        <f t="shared" si="5"/>
        <v>9.0200000000000813</v>
      </c>
      <c r="X16" s="1">
        <f>L30</f>
        <v>10.4800000000001</v>
      </c>
      <c r="Y16" s="1">
        <f>N30</f>
        <v>11.460000000000099</v>
      </c>
      <c r="Z16" s="1">
        <f>P30</f>
        <v>15.940000000000101</v>
      </c>
      <c r="AD16" s="1"/>
      <c r="AE16" s="1"/>
      <c r="AF16" s="1"/>
      <c r="AG16" s="1"/>
      <c r="AH16" s="1"/>
      <c r="AI16" s="1"/>
      <c r="AJ16" s="1"/>
      <c r="AL16" s="1"/>
      <c r="AM16" s="1"/>
      <c r="AN16" s="1"/>
      <c r="AO16" s="1"/>
      <c r="AP16" s="1"/>
      <c r="AQ16" s="1"/>
      <c r="AR16" s="1"/>
      <c r="AT16" s="1"/>
      <c r="AU16" s="1"/>
      <c r="AV16" s="1"/>
      <c r="AW16" s="1"/>
      <c r="AX16" s="1"/>
      <c r="AY16" s="1"/>
      <c r="BA16" s="1"/>
      <c r="BB16" s="1"/>
      <c r="BC16" s="1"/>
      <c r="BD16" s="1"/>
      <c r="BE16" s="1"/>
      <c r="BG16" s="1"/>
      <c r="BH16" s="1"/>
      <c r="BI16" s="1"/>
      <c r="BK16" s="1"/>
      <c r="BL16" s="1"/>
      <c r="BM16" s="1"/>
      <c r="BO16" s="1"/>
      <c r="BP16" s="1"/>
      <c r="BR16" s="1"/>
    </row>
    <row r="17" spans="1:70" x14ac:dyDescent="0.3">
      <c r="A17" s="1" t="s">
        <v>18</v>
      </c>
      <c r="B17" s="1">
        <v>2.23</v>
      </c>
      <c r="C17" s="1">
        <v>3.69</v>
      </c>
      <c r="D17" s="1">
        <v>4.5800000000000214</v>
      </c>
      <c r="E17" s="1">
        <v>6.01000000000007</v>
      </c>
      <c r="F17" s="1">
        <v>6.1300000000000701</v>
      </c>
      <c r="G17" s="1">
        <v>6.9</v>
      </c>
      <c r="H17" s="1">
        <v>7.0200000000000005</v>
      </c>
      <c r="I17" s="1">
        <v>9.0200000000000706</v>
      </c>
      <c r="J17" s="1">
        <v>10.4800000000001</v>
      </c>
      <c r="K17" s="1">
        <v>11.340000000000146</v>
      </c>
      <c r="L17" s="1">
        <v>12.680000000000099</v>
      </c>
      <c r="M17" s="1">
        <v>12.8</v>
      </c>
      <c r="N17" s="1">
        <v>13.570000000000096</v>
      </c>
      <c r="O17" s="1">
        <v>13.690000000000095</v>
      </c>
      <c r="P17" s="1">
        <v>15.940000000000101</v>
      </c>
      <c r="Q17" s="7" t="s">
        <v>32</v>
      </c>
      <c r="R17" s="6">
        <f>B31</f>
        <v>3.569999999999979</v>
      </c>
      <c r="S17" s="6">
        <f t="shared" si="4"/>
        <v>4.5800000000000214</v>
      </c>
      <c r="T17" s="1">
        <f t="shared" ref="T17:T18" si="6">E31</f>
        <v>6.1300000000000701</v>
      </c>
      <c r="U17" s="1">
        <f t="shared" ref="U17:U18" si="7">G31</f>
        <v>7.0200000000000005</v>
      </c>
      <c r="V17" s="1">
        <f t="shared" si="5"/>
        <v>10.360000000000024</v>
      </c>
      <c r="W17" s="1">
        <f t="shared" si="5"/>
        <v>11.340000000000146</v>
      </c>
      <c r="X17" s="1">
        <f t="shared" ref="X17:X18" si="8">L31</f>
        <v>12.800000000000098</v>
      </c>
      <c r="Y17" s="1">
        <f t="shared" ref="Y17:Y18" si="9">N31</f>
        <v>13.690000000000095</v>
      </c>
      <c r="Z17" s="1">
        <f t="shared" ref="Z17:Z18" si="10">P31</f>
        <v>18.190000000000101</v>
      </c>
      <c r="AA17" s="4">
        <f>1000</f>
        <v>1000</v>
      </c>
      <c r="AD17" s="1"/>
      <c r="AE17" s="1"/>
      <c r="AF17" s="1"/>
      <c r="AG17" s="1"/>
      <c r="AH17" s="1"/>
      <c r="AI17" s="1"/>
      <c r="AJ17" s="1"/>
      <c r="AL17" s="1"/>
      <c r="AM17" s="1"/>
      <c r="AN17" s="1"/>
      <c r="AO17" s="1"/>
      <c r="AP17" s="1"/>
      <c r="AQ17" s="1"/>
      <c r="AR17" s="1"/>
      <c r="AT17" s="1"/>
      <c r="AU17" s="1"/>
      <c r="AV17" s="1"/>
      <c r="AW17" s="1"/>
      <c r="AX17" s="1"/>
      <c r="AY17" s="1"/>
      <c r="BA17" s="1"/>
      <c r="BB17" s="1"/>
      <c r="BC17" s="1"/>
      <c r="BD17" s="1"/>
      <c r="BE17" s="1"/>
      <c r="BG17" s="1"/>
      <c r="BH17" s="1"/>
      <c r="BI17" s="1"/>
      <c r="BK17" s="1"/>
      <c r="BL17" s="1"/>
      <c r="BM17" s="1"/>
      <c r="BO17" s="1"/>
      <c r="BP17" s="1"/>
      <c r="BR17" s="1"/>
    </row>
    <row r="18" spans="1:70" x14ac:dyDescent="0.3">
      <c r="A18" s="1"/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R18" s="1">
        <f>B32</f>
        <v>0</v>
      </c>
      <c r="S18" s="1">
        <f t="shared" si="4"/>
        <v>0</v>
      </c>
      <c r="T18" s="1">
        <f t="shared" si="6"/>
        <v>0</v>
      </c>
      <c r="U18" s="1">
        <f t="shared" si="7"/>
        <v>0</v>
      </c>
      <c r="V18" s="1">
        <f t="shared" si="5"/>
        <v>0</v>
      </c>
      <c r="W18" s="1">
        <f t="shared" si="5"/>
        <v>0</v>
      </c>
      <c r="X18" s="1">
        <f t="shared" si="8"/>
        <v>0</v>
      </c>
      <c r="Y18" s="1">
        <f t="shared" si="9"/>
        <v>0</v>
      </c>
      <c r="Z18" s="1">
        <f t="shared" si="10"/>
        <v>0</v>
      </c>
      <c r="AD18" s="1"/>
      <c r="AE18" s="1"/>
      <c r="AF18" s="1"/>
      <c r="AG18" s="1"/>
      <c r="AH18" s="1"/>
      <c r="AI18" s="1"/>
      <c r="AJ18" s="1"/>
      <c r="AL18" s="1"/>
      <c r="AM18" s="1"/>
      <c r="AN18" s="1"/>
      <c r="AO18" s="1"/>
      <c r="AP18" s="1"/>
      <c r="AQ18" s="1"/>
      <c r="AR18" s="1"/>
      <c r="AT18" s="1"/>
      <c r="AU18" s="1"/>
      <c r="AV18" s="1"/>
      <c r="AW18" s="1"/>
      <c r="AX18" s="1"/>
      <c r="AY18" s="1"/>
      <c r="BA18" s="1"/>
      <c r="BB18" s="1"/>
      <c r="BC18" s="1"/>
      <c r="BD18" s="1"/>
      <c r="BE18" s="1"/>
      <c r="BG18" s="1"/>
      <c r="BH18" s="1"/>
      <c r="BI18" s="1"/>
      <c r="BK18" s="1"/>
      <c r="BL18" s="1"/>
      <c r="BM18" s="1"/>
      <c r="BO18" s="1"/>
      <c r="BP18" s="1"/>
      <c r="BR18" s="1"/>
    </row>
    <row r="19" spans="1:70" x14ac:dyDescent="0.3">
      <c r="B19" s="14"/>
      <c r="AD19" s="1"/>
      <c r="AE19" s="1"/>
      <c r="AF19" s="1"/>
      <c r="AG19" s="1"/>
      <c r="AH19" s="1"/>
      <c r="AI19" s="1"/>
      <c r="AJ19" s="1"/>
      <c r="AL19" s="1"/>
      <c r="AM19" s="1"/>
      <c r="AN19" s="1"/>
      <c r="AO19" s="1"/>
      <c r="AP19" s="1"/>
      <c r="AQ19" s="1"/>
      <c r="AR19" s="1"/>
      <c r="AT19" s="1"/>
      <c r="AU19" s="1"/>
      <c r="AV19" s="1"/>
      <c r="AW19" s="1"/>
      <c r="AX19" s="1"/>
      <c r="AY19" s="1"/>
      <c r="BA19" s="1"/>
      <c r="BB19" s="1"/>
      <c r="BC19" s="1"/>
      <c r="BD19" s="1"/>
      <c r="BE19" s="1"/>
      <c r="BG19" s="1"/>
      <c r="BH19" s="1"/>
      <c r="BI19" s="1"/>
      <c r="BK19" s="1"/>
      <c r="BL19" s="1"/>
      <c r="BM19" s="1"/>
      <c r="BO19" s="1"/>
      <c r="BP19" s="1"/>
      <c r="BR19" s="1"/>
    </row>
    <row r="20" spans="1:70" x14ac:dyDescent="0.3">
      <c r="B20" s="15"/>
      <c r="AD20" s="1"/>
      <c r="AE20" s="1"/>
      <c r="AF20" s="1"/>
      <c r="AG20" s="1"/>
      <c r="AH20" s="1"/>
      <c r="AI20" s="1"/>
      <c r="AJ20" s="1"/>
      <c r="AL20" s="1"/>
      <c r="AM20" s="1"/>
      <c r="AN20" s="1"/>
      <c r="AO20" s="1"/>
      <c r="AP20" s="1"/>
      <c r="AQ20" s="1"/>
      <c r="AR20" s="1"/>
      <c r="AT20" s="1"/>
      <c r="AU20" s="1"/>
      <c r="AV20" s="1"/>
      <c r="AW20" s="1"/>
      <c r="AX20" s="1"/>
      <c r="AY20" s="1"/>
      <c r="BA20" s="1"/>
      <c r="BB20" s="1"/>
      <c r="BC20" s="1"/>
      <c r="BD20" s="1"/>
      <c r="BE20" s="1"/>
      <c r="BG20" s="1"/>
      <c r="BH20" s="1"/>
      <c r="BI20" s="1"/>
      <c r="BK20" s="1"/>
      <c r="BL20" s="1"/>
      <c r="BM20" s="1"/>
      <c r="BO20" s="1"/>
      <c r="BP20" s="1"/>
      <c r="BR20" s="1"/>
    </row>
    <row r="21" spans="1:70" x14ac:dyDescent="0.3">
      <c r="B21" s="15"/>
      <c r="AD21" s="1"/>
      <c r="AE21" s="1"/>
      <c r="AF21" s="1"/>
      <c r="AG21" s="1"/>
      <c r="AH21" s="1"/>
      <c r="AI21" s="1"/>
      <c r="AJ21" s="1"/>
      <c r="AL21" s="1"/>
      <c r="AM21" s="1"/>
      <c r="AN21" s="1"/>
      <c r="AO21" s="1"/>
      <c r="AP21" s="1"/>
      <c r="AQ21" s="1"/>
      <c r="AR21" s="1"/>
      <c r="AT21" s="1"/>
      <c r="AU21" s="1"/>
      <c r="AV21" s="1"/>
      <c r="AW21" s="1"/>
      <c r="AX21" s="1"/>
      <c r="AY21" s="1"/>
      <c r="BA21" s="1"/>
      <c r="BB21" s="1"/>
      <c r="BC21" s="1"/>
      <c r="BD21" s="1"/>
      <c r="BE21" s="1"/>
      <c r="BG21" s="1"/>
      <c r="BH21" s="1"/>
      <c r="BI21" s="1"/>
      <c r="BK21" s="1"/>
      <c r="BL21" s="1"/>
      <c r="BM21" s="1"/>
      <c r="BO21" s="1"/>
      <c r="BP21" s="1"/>
      <c r="BR21" s="1"/>
    </row>
    <row r="22" spans="1:70" x14ac:dyDescent="0.3">
      <c r="A22" t="s">
        <v>19</v>
      </c>
      <c r="B22" s="15"/>
      <c r="R22" t="s">
        <v>46</v>
      </c>
      <c r="AD22" s="1"/>
      <c r="AE22" s="1"/>
      <c r="AF22" s="1"/>
      <c r="AG22" s="1"/>
      <c r="AH22" s="1"/>
      <c r="AI22" s="1"/>
      <c r="AJ22" s="1"/>
      <c r="AL22" s="1"/>
      <c r="AM22" s="1"/>
      <c r="AN22" s="1"/>
      <c r="AO22" s="1"/>
      <c r="AP22" s="1"/>
      <c r="AQ22" s="1"/>
      <c r="AR22" s="1"/>
      <c r="AT22" s="1"/>
      <c r="AU22" s="1"/>
      <c r="AV22" s="1"/>
      <c r="AW22" s="1"/>
      <c r="AX22" s="1"/>
      <c r="AY22" s="1"/>
      <c r="BA22" s="1"/>
      <c r="BB22" s="1"/>
      <c r="BC22" s="1"/>
      <c r="BD22" s="1"/>
      <c r="BE22" s="1"/>
      <c r="BG22" s="1"/>
      <c r="BH22" s="1"/>
      <c r="BI22" s="1"/>
      <c r="BK22" s="1"/>
      <c r="BL22" s="1"/>
      <c r="BM22" s="1"/>
      <c r="BO22" s="1"/>
      <c r="BP22" s="1"/>
      <c r="BR22" s="1"/>
    </row>
    <row r="23" spans="1:70" x14ac:dyDescent="0.3">
      <c r="A23" t="s">
        <v>20</v>
      </c>
      <c r="R23" s="1"/>
      <c r="S23" s="6" t="s">
        <v>1</v>
      </c>
      <c r="T23" s="6" t="s">
        <v>2</v>
      </c>
      <c r="U23" s="6" t="s">
        <v>4</v>
      </c>
      <c r="V23" s="6" t="s">
        <v>6</v>
      </c>
      <c r="W23" s="6" t="s">
        <v>8</v>
      </c>
      <c r="X23" s="6" t="s">
        <v>9</v>
      </c>
      <c r="Y23" s="6" t="s">
        <v>11</v>
      </c>
      <c r="Z23" s="6" t="s">
        <v>13</v>
      </c>
      <c r="AA23" s="6" t="s">
        <v>15</v>
      </c>
      <c r="AD23" s="1"/>
      <c r="AE23" s="1"/>
      <c r="AF23" s="1"/>
      <c r="AG23" s="1"/>
      <c r="AH23" s="1"/>
      <c r="AI23" s="1"/>
      <c r="AJ23" s="1"/>
      <c r="AL23" s="1"/>
      <c r="AM23" s="1"/>
      <c r="AN23" s="1"/>
      <c r="AO23" s="1"/>
      <c r="AP23" s="1"/>
      <c r="AQ23" s="1"/>
      <c r="AR23" s="1"/>
      <c r="AT23" s="1"/>
      <c r="AU23" s="1"/>
      <c r="AV23" s="1"/>
      <c r="AW23" s="1"/>
      <c r="AX23" s="1"/>
      <c r="AY23" s="1"/>
      <c r="BA23" s="1"/>
      <c r="BB23" s="1"/>
      <c r="BC23" s="1"/>
      <c r="BD23" s="1"/>
      <c r="BE23" s="1"/>
      <c r="BG23" s="1"/>
      <c r="BH23" s="1"/>
      <c r="BI23" s="1"/>
      <c r="BK23" s="1"/>
      <c r="BL23" s="1"/>
      <c r="BM23" s="1"/>
      <c r="BO23" s="1"/>
      <c r="BP23" s="1"/>
      <c r="BR23" s="1"/>
    </row>
    <row r="24" spans="1:70" x14ac:dyDescent="0.3">
      <c r="A24" t="s">
        <v>23</v>
      </c>
      <c r="R24" s="6" t="s">
        <v>1</v>
      </c>
      <c r="S24" s="1"/>
      <c r="T24" s="1"/>
      <c r="U24" s="1">
        <f>$R$17-T2-$AA$17*(1-AD3)</f>
        <v>-2.0872192862952943E-14</v>
      </c>
      <c r="V24" s="1">
        <f t="shared" ref="V24:Z24" si="11">$R$17-U2-$AA$17*(1-AE3)</f>
        <v>-1.0100000000000406</v>
      </c>
      <c r="W24" s="1">
        <f t="shared" si="11"/>
        <v>-3.1300000000000212</v>
      </c>
      <c r="X24" s="1">
        <f t="shared" si="11"/>
        <v>-3.4500000000001014</v>
      </c>
      <c r="Y24" s="1">
        <f t="shared" si="11"/>
        <v>-6.7900000000001217</v>
      </c>
      <c r="Z24" s="1">
        <f t="shared" si="11"/>
        <v>-7.7700000000001204</v>
      </c>
      <c r="AA24" s="1">
        <f>$R$17-Z2-$AA$17*(1-AJ3)</f>
        <v>-10.120000000000122</v>
      </c>
      <c r="AD24" s="1"/>
      <c r="AE24" s="1"/>
      <c r="AF24" s="1"/>
      <c r="AG24" s="1"/>
      <c r="AH24" s="1"/>
      <c r="AI24" s="1"/>
      <c r="AJ24" s="1"/>
      <c r="AL24" s="1"/>
      <c r="AM24" s="1"/>
      <c r="AN24" s="1"/>
      <c r="AO24" s="1"/>
      <c r="AP24" s="1"/>
      <c r="AQ24" s="1"/>
      <c r="AR24" s="1"/>
      <c r="AT24" s="1"/>
      <c r="AU24" s="1"/>
      <c r="AV24" s="1"/>
      <c r="AW24" s="1"/>
      <c r="AX24" s="1"/>
      <c r="AY24" s="1"/>
      <c r="BA24" s="1"/>
      <c r="BB24" s="1"/>
      <c r="BC24" s="1"/>
      <c r="BD24" s="1"/>
      <c r="BE24" s="1"/>
      <c r="BG24" s="1"/>
      <c r="BH24" s="1"/>
      <c r="BI24" s="1"/>
      <c r="BK24" s="1"/>
      <c r="BL24" s="1"/>
      <c r="BM24" s="1"/>
      <c r="BO24" s="1"/>
      <c r="BP24" s="1"/>
      <c r="BR24" s="1"/>
    </row>
    <row r="25" spans="1:70" x14ac:dyDescent="0.3">
      <c r="A25" t="s">
        <v>24</v>
      </c>
      <c r="R25" s="6" t="s">
        <v>2</v>
      </c>
      <c r="S25" s="1"/>
      <c r="T25" s="1"/>
      <c r="U25" s="1">
        <f>$S$17-T2-$AA$17*(1-AL3)</f>
        <v>-998.99</v>
      </c>
      <c r="V25" s="1">
        <f t="shared" ref="V25:Z25" si="12">$S$17-U2-$AA$17*(1-AM3)</f>
        <v>1.7763568394002505E-15</v>
      </c>
      <c r="W25" s="1">
        <f t="shared" si="12"/>
        <v>-2.1199999999999788</v>
      </c>
      <c r="X25" s="1">
        <f t="shared" si="12"/>
        <v>-2.440000000000059</v>
      </c>
      <c r="Y25" s="1">
        <f t="shared" si="12"/>
        <v>-5.7800000000000793</v>
      </c>
      <c r="Z25" s="1">
        <f t="shared" si="12"/>
        <v>-6.7600000000000779</v>
      </c>
      <c r="AA25" s="1">
        <f>$S$17-Z2-$AA$17*(1-AR3)</f>
        <v>-9.1100000000000794</v>
      </c>
      <c r="AD25" s="1"/>
      <c r="AE25" s="1"/>
      <c r="AF25" s="1"/>
      <c r="AG25" s="1"/>
      <c r="AH25" s="1"/>
      <c r="AI25" s="1"/>
      <c r="AJ25" s="1"/>
      <c r="AL25" s="1"/>
      <c r="AM25" s="1"/>
      <c r="AN25" s="1"/>
      <c r="AO25" s="1"/>
      <c r="AP25" s="1"/>
      <c r="AQ25" s="1"/>
      <c r="AR25" s="1"/>
      <c r="AT25" s="1"/>
      <c r="AU25" s="1"/>
      <c r="AV25" s="1"/>
      <c r="AW25" s="1"/>
      <c r="AX25" s="1"/>
      <c r="AY25" s="1"/>
      <c r="BA25" s="1"/>
      <c r="BB25" s="1"/>
      <c r="BC25" s="1"/>
      <c r="BD25" s="1"/>
      <c r="BE25" s="1"/>
      <c r="BG25" s="1"/>
      <c r="BH25" s="1"/>
      <c r="BI25" s="1"/>
      <c r="BK25" s="1"/>
      <c r="BL25" s="1"/>
      <c r="BM25" s="1"/>
      <c r="BO25" s="1"/>
      <c r="BP25" s="1"/>
      <c r="BR25" s="1"/>
    </row>
    <row r="26" spans="1:70" x14ac:dyDescent="0.3">
      <c r="R26" s="6" t="s">
        <v>4</v>
      </c>
      <c r="S26" s="1"/>
      <c r="T26" s="1"/>
      <c r="U26" s="1"/>
      <c r="V26" s="1">
        <f>$T$17-U2-$AA$17*(1-AT3)</f>
        <v>-998.44999999999993</v>
      </c>
      <c r="W26" s="1">
        <f t="shared" ref="W26:Z26" si="13">$T$17-V2-$AA$17*(1-AU3)</f>
        <v>-0.56999999999993012</v>
      </c>
      <c r="X26" s="1">
        <f t="shared" si="13"/>
        <v>-0.89000000000001034</v>
      </c>
      <c r="Y26" s="1">
        <f t="shared" si="13"/>
        <v>-4.2300000000000306</v>
      </c>
      <c r="Z26" s="1">
        <f t="shared" si="13"/>
        <v>-5.2100000000000293</v>
      </c>
      <c r="AA26" s="1">
        <f>$T$17-Z2-$AA$17*(1-AY3)</f>
        <v>-7.5600000000000307</v>
      </c>
      <c r="AD26" s="1"/>
      <c r="AE26" s="1"/>
      <c r="AF26" s="1"/>
      <c r="AG26" s="1"/>
      <c r="AH26" s="1"/>
      <c r="AI26" s="1"/>
      <c r="AJ26" s="1"/>
      <c r="AL26" s="1"/>
      <c r="AM26" s="1"/>
      <c r="AN26" s="1"/>
      <c r="AO26" s="1"/>
      <c r="AP26" s="1"/>
      <c r="AQ26" s="1"/>
      <c r="AR26" s="1"/>
      <c r="AT26" s="1"/>
      <c r="AU26" s="1"/>
      <c r="AV26" s="1"/>
      <c r="AW26" s="1"/>
      <c r="AX26" s="1"/>
      <c r="AY26" s="1"/>
      <c r="BA26" s="1"/>
      <c r="BB26" s="1"/>
      <c r="BC26" s="1"/>
      <c r="BD26" s="1"/>
      <c r="BE26" s="1"/>
      <c r="BG26" s="1"/>
      <c r="BH26" s="1"/>
      <c r="BI26" s="1"/>
      <c r="BK26" s="1"/>
      <c r="BL26" s="1"/>
      <c r="BM26" s="1"/>
      <c r="BO26" s="1"/>
      <c r="BP26" s="1"/>
      <c r="BR26" s="1"/>
    </row>
    <row r="27" spans="1:70" x14ac:dyDescent="0.3">
      <c r="R27" s="6" t="s">
        <v>6</v>
      </c>
      <c r="S27" s="1"/>
      <c r="T27" s="1"/>
      <c r="U27" s="1"/>
      <c r="V27" s="1"/>
      <c r="W27" s="1">
        <f>$U$17-V2-$AA$17*(1-BA3)</f>
        <v>-999.68</v>
      </c>
      <c r="X27" s="1">
        <f t="shared" ref="X27:Z27" si="14">$U$17-W2-$AA$17*(1-BB3)</f>
        <v>-7.9936057773011271E-14</v>
      </c>
      <c r="Y27" s="1">
        <f t="shared" si="14"/>
        <v>-3.3400000000001002</v>
      </c>
      <c r="Z27" s="1">
        <f t="shared" si="14"/>
        <v>-4.3200000000000989</v>
      </c>
      <c r="AA27" s="1">
        <f>$U$17-Z2-$AA$17*(1-BE3)</f>
        <v>-6.6700000000001003</v>
      </c>
      <c r="AD27" s="1"/>
      <c r="AE27" s="1"/>
      <c r="AF27" s="1"/>
      <c r="AG27" s="1"/>
      <c r="AH27" s="1"/>
      <c r="AI27" s="1"/>
      <c r="AJ27" s="1"/>
      <c r="AL27" s="1"/>
      <c r="AM27" s="1"/>
      <c r="AN27" s="1"/>
      <c r="AO27" s="1"/>
      <c r="AP27" s="1"/>
      <c r="AQ27" s="1"/>
      <c r="AR27" s="1"/>
      <c r="AT27" s="1"/>
      <c r="AU27" s="1"/>
      <c r="AV27" s="1"/>
      <c r="AW27" s="1"/>
      <c r="AX27" s="1"/>
      <c r="AY27" s="1"/>
      <c r="BA27" s="1"/>
      <c r="BB27" s="1"/>
      <c r="BC27" s="1"/>
      <c r="BD27" s="1"/>
      <c r="BE27" s="1"/>
      <c r="BG27" s="1"/>
      <c r="BH27" s="1"/>
      <c r="BI27" s="1"/>
      <c r="BK27" s="1"/>
      <c r="BL27" s="1"/>
      <c r="BM27" s="1"/>
      <c r="BO27" s="1"/>
      <c r="BP27" s="1"/>
      <c r="BR27" s="1"/>
    </row>
    <row r="28" spans="1:70" x14ac:dyDescent="0.3">
      <c r="A28" t="s">
        <v>21</v>
      </c>
      <c r="R28" s="6" t="s">
        <v>8</v>
      </c>
      <c r="S28" s="1"/>
      <c r="T28" s="1"/>
      <c r="U28" s="1"/>
      <c r="V28" s="1"/>
      <c r="W28" s="1"/>
      <c r="X28" s="1"/>
      <c r="Y28" s="1">
        <f>$V$17-X2-$AA$17*(1-BG3)</f>
        <v>-7.638334409421077E-14</v>
      </c>
      <c r="Z28" s="1">
        <f t="shared" ref="Z28:AA28" si="15">$V$17-Y2-$AA$17*(1-BH3)</f>
        <v>-0.98000000000007503</v>
      </c>
      <c r="AA28" s="1">
        <f t="shared" si="15"/>
        <v>-3.3300000000000765</v>
      </c>
      <c r="AD28" s="1"/>
      <c r="AE28" s="1"/>
      <c r="AF28" s="1"/>
      <c r="AG28" s="1"/>
      <c r="AH28" s="1"/>
      <c r="AI28" s="1"/>
      <c r="AJ28" s="1"/>
      <c r="AL28" s="1"/>
      <c r="AM28" s="1"/>
      <c r="AN28" s="1"/>
      <c r="AO28" s="1"/>
      <c r="AP28" s="1"/>
      <c r="AQ28" s="1"/>
      <c r="AR28" s="1"/>
      <c r="AT28" s="1"/>
      <c r="AU28" s="1"/>
      <c r="AV28" s="1"/>
      <c r="AW28" s="1"/>
      <c r="AX28" s="1"/>
      <c r="AY28" s="1"/>
      <c r="BA28" s="1"/>
      <c r="BB28" s="1"/>
      <c r="BC28" s="1"/>
      <c r="BD28" s="1"/>
      <c r="BE28" s="1"/>
      <c r="BG28" s="1"/>
      <c r="BH28" s="1"/>
      <c r="BI28" s="1"/>
      <c r="BK28" s="1"/>
      <c r="BL28" s="1"/>
      <c r="BM28" s="1"/>
      <c r="BO28" s="1"/>
      <c r="BP28" s="1"/>
      <c r="BR28" s="1"/>
    </row>
    <row r="29" spans="1:70" x14ac:dyDescent="0.3">
      <c r="B29" s="3" t="s">
        <v>1</v>
      </c>
      <c r="C29" s="3" t="s">
        <v>2</v>
      </c>
      <c r="D29" t="s">
        <v>3</v>
      </c>
      <c r="E29" s="3" t="s">
        <v>4</v>
      </c>
      <c r="F29" t="s">
        <v>5</v>
      </c>
      <c r="G29" s="3" t="s">
        <v>6</v>
      </c>
      <c r="H29" t="s">
        <v>7</v>
      </c>
      <c r="I29" s="3" t="s">
        <v>8</v>
      </c>
      <c r="J29" s="3" t="s">
        <v>9</v>
      </c>
      <c r="K29" t="s">
        <v>10</v>
      </c>
      <c r="L29" s="3" t="s">
        <v>11</v>
      </c>
      <c r="M29" t="s">
        <v>12</v>
      </c>
      <c r="N29" s="3" t="s">
        <v>13</v>
      </c>
      <c r="O29" t="s">
        <v>14</v>
      </c>
      <c r="P29" s="3" t="s">
        <v>15</v>
      </c>
      <c r="R29" s="6" t="s">
        <v>9</v>
      </c>
      <c r="S29" s="1"/>
      <c r="T29" s="1"/>
      <c r="U29" s="1"/>
      <c r="V29" s="1"/>
      <c r="W29" s="1"/>
      <c r="X29" s="1"/>
      <c r="Y29" s="1">
        <f>$W$17-X2-$AA$17*(1-BK3)</f>
        <v>-999.02</v>
      </c>
      <c r="Z29" s="1">
        <f t="shared" ref="Z29:AA29" si="16">$W$17-Y2-$AA$17*(1-BL3)</f>
        <v>4.6185277824406512E-14</v>
      </c>
      <c r="AA29" s="1">
        <f t="shared" si="16"/>
        <v>-2.3499999999999552</v>
      </c>
      <c r="AD29" s="1"/>
      <c r="AE29" s="1"/>
      <c r="AF29" s="1"/>
      <c r="AG29" s="1"/>
      <c r="AH29" s="1"/>
      <c r="AI29" s="1"/>
      <c r="AJ29" s="1"/>
      <c r="AL29" s="1"/>
      <c r="AM29" s="1"/>
      <c r="AN29" s="1"/>
      <c r="AO29" s="1"/>
      <c r="AP29" s="1"/>
      <c r="AQ29" s="1"/>
      <c r="AR29" s="1"/>
      <c r="AT29" s="1"/>
      <c r="AU29" s="1"/>
      <c r="AV29" s="1"/>
      <c r="AW29" s="1"/>
      <c r="AX29" s="1"/>
      <c r="AY29" s="1"/>
      <c r="BA29" s="1"/>
      <c r="BB29" s="1"/>
      <c r="BC29" s="1"/>
      <c r="BD29" s="1"/>
      <c r="BE29" s="1"/>
      <c r="BG29" s="1"/>
      <c r="BH29" s="1"/>
      <c r="BI29" s="1"/>
      <c r="BK29" s="1"/>
      <c r="BL29" s="1"/>
      <c r="BM29" s="1"/>
      <c r="BO29" s="1"/>
      <c r="BP29" s="1"/>
      <c r="BR29" s="1"/>
    </row>
    <row r="30" spans="1:70" x14ac:dyDescent="0.3">
      <c r="A30" s="1" t="s">
        <v>16</v>
      </c>
      <c r="B30" s="1">
        <f>B2+B16</f>
        <v>0</v>
      </c>
      <c r="C30" s="1">
        <f t="shared" ref="C30:O31" si="17">C2+C16</f>
        <v>2.23</v>
      </c>
      <c r="D30" s="1">
        <f t="shared" si="17"/>
        <v>3.5700000000000003</v>
      </c>
      <c r="E30" s="1">
        <f t="shared" si="17"/>
        <v>3.69</v>
      </c>
      <c r="F30" s="1">
        <f t="shared" si="17"/>
        <v>4.46</v>
      </c>
      <c r="G30" s="1">
        <f t="shared" si="17"/>
        <v>4.7000000000000197</v>
      </c>
      <c r="H30" s="1">
        <f t="shared" si="17"/>
        <v>6.7</v>
      </c>
      <c r="I30" s="1">
        <f t="shared" si="17"/>
        <v>6.9</v>
      </c>
      <c r="J30" s="1">
        <f t="shared" si="17"/>
        <v>9.0200000000000813</v>
      </c>
      <c r="K30" s="1">
        <f t="shared" si="17"/>
        <v>10.36000000000007</v>
      </c>
      <c r="L30" s="1">
        <f t="shared" si="17"/>
        <v>10.4800000000001</v>
      </c>
      <c r="M30" s="1">
        <f t="shared" si="17"/>
        <v>11.250000000000099</v>
      </c>
      <c r="N30" s="1">
        <f t="shared" si="17"/>
        <v>11.460000000000099</v>
      </c>
      <c r="O30" s="1">
        <f t="shared" si="17"/>
        <v>13.460000000000099</v>
      </c>
      <c r="P30" s="11">
        <f>P2+P16</f>
        <v>15.940000000000101</v>
      </c>
      <c r="R30" s="6" t="s">
        <v>11</v>
      </c>
      <c r="S30" s="1"/>
      <c r="T30" s="1"/>
      <c r="U30" s="1"/>
      <c r="V30" s="1"/>
      <c r="W30" s="1"/>
      <c r="X30" s="1"/>
      <c r="Y30" s="1"/>
      <c r="Z30" s="1">
        <f>$X$17-Y2-$AA$17*(1-BO3)</f>
        <v>-998.54</v>
      </c>
      <c r="AA30" s="1">
        <f>$X$17-Z2-$AA$17*(1-BP3)</f>
        <v>-0.89000000000000234</v>
      </c>
      <c r="AD30" s="1"/>
      <c r="AE30" s="1"/>
      <c r="AF30" s="1"/>
      <c r="AG30" s="1"/>
      <c r="AH30" s="1"/>
      <c r="AI30" s="1"/>
      <c r="AJ30" s="1"/>
      <c r="AL30" s="1"/>
      <c r="AM30" s="1"/>
      <c r="AN30" s="1"/>
      <c r="AO30" s="1"/>
      <c r="AP30" s="1"/>
      <c r="AQ30" s="1"/>
      <c r="AR30" s="1"/>
      <c r="AT30" s="1"/>
      <c r="AU30" s="1"/>
      <c r="AV30" s="1"/>
      <c r="AW30" s="1"/>
      <c r="AX30" s="1"/>
      <c r="AY30" s="1"/>
      <c r="BA30" s="1"/>
      <c r="BB30" s="1"/>
      <c r="BC30" s="1"/>
      <c r="BD30" s="1"/>
      <c r="BE30" s="1"/>
      <c r="BG30" s="1"/>
      <c r="BH30" s="1"/>
      <c r="BI30" s="1"/>
      <c r="BK30" s="1"/>
      <c r="BL30" s="1"/>
      <c r="BM30" s="1"/>
      <c r="BO30" s="1"/>
      <c r="BP30" s="1"/>
      <c r="BR30" s="1"/>
    </row>
    <row r="31" spans="1:70" x14ac:dyDescent="0.3">
      <c r="A31" s="1" t="s">
        <v>18</v>
      </c>
      <c r="B31" s="1">
        <f>B3+B17</f>
        <v>3.569999999999979</v>
      </c>
      <c r="C31" s="1">
        <f t="shared" si="17"/>
        <v>4.5800000000000214</v>
      </c>
      <c r="D31" s="1">
        <f t="shared" si="17"/>
        <v>5.9200000000000212</v>
      </c>
      <c r="E31" s="1">
        <f t="shared" si="17"/>
        <v>6.1300000000000701</v>
      </c>
      <c r="F31" s="1">
        <f t="shared" si="17"/>
        <v>6.9000000000000696</v>
      </c>
      <c r="G31" s="1">
        <f t="shared" si="17"/>
        <v>7.0200000000000005</v>
      </c>
      <c r="H31" s="1">
        <f t="shared" si="17"/>
        <v>9.02</v>
      </c>
      <c r="I31" s="1">
        <f t="shared" si="17"/>
        <v>10.360000000000024</v>
      </c>
      <c r="J31" s="17">
        <f t="shared" si="17"/>
        <v>11.340000000000146</v>
      </c>
      <c r="K31" s="1">
        <f t="shared" si="17"/>
        <v>12.680000000000145</v>
      </c>
      <c r="L31" s="1">
        <f t="shared" si="17"/>
        <v>12.800000000000098</v>
      </c>
      <c r="M31" s="1">
        <f t="shared" si="17"/>
        <v>13.57</v>
      </c>
      <c r="N31" s="1">
        <f t="shared" si="17"/>
        <v>13.690000000000095</v>
      </c>
      <c r="O31" s="1">
        <f t="shared" si="17"/>
        <v>15.690000000000095</v>
      </c>
      <c r="P31" s="11">
        <f>P3+P17</f>
        <v>18.190000000000101</v>
      </c>
      <c r="R31" s="6" t="s">
        <v>13</v>
      </c>
      <c r="S31" s="1"/>
      <c r="T31" s="1"/>
      <c r="U31" s="1"/>
      <c r="V31" s="1"/>
      <c r="W31" s="1"/>
      <c r="X31" s="1"/>
      <c r="Y31" s="1"/>
      <c r="Z31" s="1"/>
      <c r="AA31" s="1">
        <f>$Y$17-Z2-$AA$17*(1-BR3)</f>
        <v>-5.3290705182007514E-15</v>
      </c>
      <c r="AD31" s="1"/>
      <c r="AE31" s="1"/>
      <c r="AF31" s="1"/>
      <c r="AG31" s="1"/>
      <c r="AH31" s="1"/>
      <c r="AI31" s="1"/>
      <c r="AJ31" s="1"/>
      <c r="AL31" s="1"/>
      <c r="AM31" s="1"/>
      <c r="AN31" s="1"/>
      <c r="AO31" s="1"/>
      <c r="AP31" s="1"/>
      <c r="AQ31" s="1"/>
      <c r="AR31" s="1"/>
      <c r="AT31" s="1"/>
      <c r="AU31" s="1"/>
      <c r="AV31" s="1"/>
      <c r="AW31" s="1"/>
      <c r="AX31" s="1"/>
      <c r="AY31" s="1"/>
      <c r="BA31" s="1"/>
      <c r="BB31" s="1"/>
      <c r="BC31" s="1"/>
      <c r="BD31" s="1"/>
      <c r="BE31" s="1"/>
      <c r="BG31" s="1"/>
      <c r="BH31" s="1"/>
      <c r="BI31" s="1"/>
      <c r="BK31" s="1"/>
      <c r="BL31" s="1"/>
      <c r="BM31" s="1"/>
      <c r="BO31" s="1"/>
      <c r="BP31" s="1"/>
      <c r="BR31" s="1"/>
    </row>
    <row r="32" spans="1:70" x14ac:dyDescent="0.3">
      <c r="A32" s="1"/>
      <c r="B32" s="1"/>
      <c r="C32" s="1"/>
      <c r="D32" s="1"/>
      <c r="E32" s="1"/>
      <c r="F32" s="1"/>
      <c r="G32" s="1"/>
      <c r="H32" s="1"/>
      <c r="I32" s="1"/>
      <c r="J32" s="17"/>
      <c r="K32" s="1"/>
      <c r="L32" s="1"/>
      <c r="M32" s="1"/>
      <c r="N32" s="1"/>
      <c r="O32" s="1"/>
      <c r="P32" s="11"/>
      <c r="R32" s="6" t="s">
        <v>15</v>
      </c>
      <c r="S32" s="1"/>
      <c r="T32" s="1"/>
      <c r="U32" s="1"/>
      <c r="V32" s="1"/>
      <c r="W32" s="1"/>
      <c r="X32" s="1"/>
      <c r="Y32" s="1"/>
      <c r="Z32" s="1"/>
      <c r="AA32" s="1"/>
      <c r="AD32" s="1"/>
      <c r="AE32" s="1"/>
      <c r="AF32" s="1"/>
      <c r="AG32" s="1"/>
      <c r="AH32" s="1"/>
      <c r="AI32" s="1"/>
      <c r="AJ32" s="1"/>
      <c r="AL32" s="1"/>
      <c r="AM32" s="1"/>
      <c r="AN32" s="1"/>
      <c r="AO32" s="1"/>
      <c r="AP32" s="1"/>
      <c r="AQ32" s="1"/>
      <c r="AR32" s="1"/>
      <c r="AT32" s="1"/>
      <c r="AU32" s="1"/>
      <c r="AV32" s="1"/>
      <c r="AW32" s="1"/>
      <c r="AX32" s="1"/>
      <c r="AY32" s="1"/>
      <c r="BA32" s="1"/>
      <c r="BB32" s="1"/>
      <c r="BC32" s="1"/>
      <c r="BD32" s="1"/>
      <c r="BE32" s="1"/>
      <c r="BG32" s="1"/>
      <c r="BH32" s="1"/>
      <c r="BI32" s="1"/>
      <c r="BK32" s="1"/>
      <c r="BL32" s="1"/>
      <c r="BM32" s="1"/>
      <c r="BO32" s="1"/>
      <c r="BP32" s="1"/>
      <c r="BR32" s="1"/>
    </row>
    <row r="33" spans="1:70" x14ac:dyDescent="0.3">
      <c r="AD33" s="1"/>
      <c r="AE33" s="1"/>
      <c r="AF33" s="1"/>
      <c r="AG33" s="1"/>
      <c r="AH33" s="1"/>
      <c r="AI33" s="1"/>
      <c r="AJ33" s="1"/>
      <c r="AL33" s="1"/>
      <c r="AM33" s="1"/>
      <c r="AN33" s="1"/>
      <c r="AO33" s="1"/>
      <c r="AP33" s="1"/>
      <c r="AQ33" s="1"/>
      <c r="AR33" s="1"/>
      <c r="AT33" s="1"/>
      <c r="AU33" s="1"/>
      <c r="AV33" s="1"/>
      <c r="AW33" s="1"/>
      <c r="AX33" s="1"/>
      <c r="AY33" s="1"/>
      <c r="BA33" s="1"/>
      <c r="BB33" s="1"/>
      <c r="BC33" s="1"/>
      <c r="BD33" s="1"/>
      <c r="BE33" s="1"/>
      <c r="BG33" s="1"/>
      <c r="BH33" s="1"/>
      <c r="BI33" s="1"/>
      <c r="BK33" s="1"/>
      <c r="BL33" s="1"/>
      <c r="BM33" s="1"/>
      <c r="BO33" s="1"/>
      <c r="BP33" s="1"/>
      <c r="BR33" s="1"/>
    </row>
    <row r="34" spans="1:70" x14ac:dyDescent="0.3">
      <c r="R34" t="s">
        <v>37</v>
      </c>
      <c r="AD34" s="1"/>
      <c r="AE34" s="1"/>
      <c r="AF34" s="1"/>
      <c r="AG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T34" s="1"/>
      <c r="AU34" s="1"/>
      <c r="AV34" s="1"/>
      <c r="AW34" s="1"/>
      <c r="AX34" s="1"/>
      <c r="AY34" s="1"/>
      <c r="BA34" s="1"/>
      <c r="BB34" s="1"/>
      <c r="BC34" s="1"/>
      <c r="BD34" s="1"/>
      <c r="BE34" s="1"/>
      <c r="BG34" s="1"/>
      <c r="BH34" s="1"/>
      <c r="BI34" s="1"/>
      <c r="BK34" s="1"/>
      <c r="BL34" s="1"/>
      <c r="BM34" s="1"/>
      <c r="BO34" s="1"/>
      <c r="BP34" s="1"/>
      <c r="BR34" s="1"/>
    </row>
    <row r="35" spans="1:70" x14ac:dyDescent="0.3">
      <c r="R35" s="1"/>
      <c r="S35" s="6" t="s">
        <v>1</v>
      </c>
      <c r="T35" s="6" t="s">
        <v>2</v>
      </c>
      <c r="U35" s="6" t="s">
        <v>4</v>
      </c>
      <c r="V35" s="6" t="s">
        <v>6</v>
      </c>
      <c r="W35" s="6" t="s">
        <v>8</v>
      </c>
      <c r="X35" s="6" t="s">
        <v>9</v>
      </c>
      <c r="Y35" s="6" t="s">
        <v>11</v>
      </c>
      <c r="Z35" s="6" t="s">
        <v>13</v>
      </c>
      <c r="AA35" s="6" t="s">
        <v>15</v>
      </c>
      <c r="AD35" s="1"/>
      <c r="AE35" s="1"/>
      <c r="AF35" s="1"/>
      <c r="AG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T35" s="1"/>
      <c r="AU35" s="1"/>
      <c r="AV35" s="1"/>
      <c r="AW35" s="1"/>
      <c r="AX35" s="1"/>
      <c r="AY35" s="1"/>
      <c r="BA35" s="1"/>
      <c r="BB35" s="1"/>
      <c r="BC35" s="1"/>
      <c r="BD35" s="1"/>
      <c r="BE35" s="1"/>
      <c r="BG35" s="1"/>
      <c r="BH35" s="1"/>
      <c r="BI35" s="1"/>
      <c r="BK35" s="1"/>
      <c r="BL35" s="1"/>
      <c r="BM35" s="1"/>
      <c r="BO35" s="1"/>
      <c r="BP35" s="1"/>
      <c r="BR35" s="1"/>
    </row>
    <row r="36" spans="1:70" x14ac:dyDescent="0.3">
      <c r="A36" t="s">
        <v>96</v>
      </c>
      <c r="B36">
        <f>P31</f>
        <v>18.190000000000101</v>
      </c>
      <c r="D36" t="s">
        <v>98</v>
      </c>
      <c r="E36">
        <f>B36</f>
        <v>18.190000000000101</v>
      </c>
      <c r="K36" s="1" t="s">
        <v>116</v>
      </c>
      <c r="L36" s="1" t="s">
        <v>111</v>
      </c>
      <c r="M36" s="1" t="s">
        <v>112</v>
      </c>
      <c r="R36" s="6" t="s">
        <v>1</v>
      </c>
      <c r="S36" s="1"/>
      <c r="T36" s="1"/>
      <c r="U36" s="1">
        <f>$R$18-T2-$AA$17*(1-AD4)</f>
        <v>-1003.57</v>
      </c>
      <c r="V36" s="1">
        <f t="shared" ref="V36:Z36" si="18">$R$18-U2-$AA$17*(1-AE4)</f>
        <v>-1004.58</v>
      </c>
      <c r="W36" s="1">
        <f t="shared" si="18"/>
        <v>-1006.7</v>
      </c>
      <c r="X36" s="1">
        <f t="shared" si="18"/>
        <v>-1007.0200000000001</v>
      </c>
      <c r="Y36" s="1">
        <f t="shared" si="18"/>
        <v>-1010.3600000000001</v>
      </c>
      <c r="Z36" s="1">
        <f t="shared" si="18"/>
        <v>-1011.3400000000001</v>
      </c>
      <c r="AA36" s="1">
        <f>$R$18-Z2-$AA$17*(1-AJ4)</f>
        <v>-1013.69</v>
      </c>
      <c r="AD36" s="1"/>
      <c r="AE36" s="1"/>
      <c r="AF36" s="1"/>
      <c r="AG36" s="1"/>
      <c r="AH36" s="1"/>
      <c r="AI36" s="1"/>
      <c r="AJ36" s="1"/>
      <c r="AL36" s="1"/>
      <c r="AM36" s="1"/>
      <c r="AN36" s="1"/>
      <c r="AO36" s="1"/>
      <c r="AP36" s="1"/>
      <c r="AQ36" s="1"/>
      <c r="AR36" s="1"/>
      <c r="AT36" s="1"/>
      <c r="AU36" s="1"/>
      <c r="AV36" s="1"/>
      <c r="AW36" s="1"/>
      <c r="AX36" s="1"/>
      <c r="AY36" s="1"/>
      <c r="BA36" s="1"/>
      <c r="BB36" s="1"/>
      <c r="BC36" s="1"/>
      <c r="BD36" s="1"/>
      <c r="BE36" s="1"/>
      <c r="BG36" s="1"/>
      <c r="BH36" s="1"/>
      <c r="BI36" s="1"/>
      <c r="BK36" s="1"/>
      <c r="BL36" s="1"/>
      <c r="BM36" s="1"/>
      <c r="BO36" s="1"/>
      <c r="BP36" s="1"/>
      <c r="BR36" s="1"/>
    </row>
    <row r="37" spans="1:70" x14ac:dyDescent="0.3">
      <c r="D37" t="s">
        <v>99</v>
      </c>
      <c r="K37" s="1" t="s">
        <v>115</v>
      </c>
      <c r="L37" s="1" t="s">
        <v>114</v>
      </c>
      <c r="M37" s="1" t="s">
        <v>113</v>
      </c>
      <c r="R37" s="6" t="s">
        <v>2</v>
      </c>
      <c r="S37" s="1"/>
      <c r="T37" s="1"/>
      <c r="U37" s="1">
        <f>$S$18-T2-$AA$17*(1-AL4)</f>
        <v>-1003.57</v>
      </c>
      <c r="V37" s="1">
        <f t="shared" ref="V37:AA37" si="19">$S$18-U2-$AA$17*(1-AM4)</f>
        <v>-1004.58</v>
      </c>
      <c r="W37" s="1">
        <f t="shared" si="19"/>
        <v>-1006.7</v>
      </c>
      <c r="X37" s="1">
        <f t="shared" si="19"/>
        <v>-1007.0200000000001</v>
      </c>
      <c r="Y37" s="1">
        <f t="shared" si="19"/>
        <v>-1010.3600000000001</v>
      </c>
      <c r="Z37" s="1">
        <f t="shared" si="19"/>
        <v>-1011.3400000000001</v>
      </c>
      <c r="AA37" s="1">
        <f t="shared" si="19"/>
        <v>-1013.69</v>
      </c>
      <c r="AD37" s="1"/>
      <c r="AE37" s="1"/>
      <c r="AF37" s="1"/>
      <c r="AG37" s="1"/>
      <c r="AH37" s="1"/>
      <c r="AI37" s="1"/>
      <c r="AJ37" s="1"/>
      <c r="AL37" s="1"/>
      <c r="AM37" s="1"/>
      <c r="AN37" s="1"/>
      <c r="AO37" s="1"/>
      <c r="AP37" s="1"/>
      <c r="AQ37" s="1"/>
      <c r="AR37" s="1"/>
      <c r="AT37" s="1"/>
      <c r="AU37" s="1"/>
      <c r="AV37" s="1"/>
      <c r="AW37" s="1"/>
      <c r="AX37" s="1"/>
      <c r="AY37" s="1"/>
      <c r="BA37" s="1"/>
      <c r="BB37" s="1"/>
      <c r="BC37" s="1"/>
      <c r="BD37" s="1"/>
      <c r="BE37" s="1"/>
      <c r="BG37" s="1"/>
      <c r="BH37" s="1"/>
      <c r="BI37" s="1"/>
      <c r="BK37" s="1"/>
      <c r="BL37" s="1"/>
      <c r="BM37" s="1"/>
      <c r="BO37" s="1"/>
      <c r="BP37" s="1"/>
      <c r="BR37" s="1"/>
    </row>
    <row r="38" spans="1:70" x14ac:dyDescent="0.3">
      <c r="D38" t="s">
        <v>54</v>
      </c>
      <c r="R38" s="6" t="s">
        <v>4</v>
      </c>
      <c r="S38" s="1"/>
      <c r="T38" s="1"/>
      <c r="U38" s="1"/>
      <c r="V38" s="1">
        <f>$T$18-U2-$AA$17*(1-AT4)</f>
        <v>-1004.58</v>
      </c>
      <c r="W38" s="1">
        <f t="shared" ref="W38:AA38" si="20">$T$18-V2-$AA$17*(1-AU4)</f>
        <v>-1006.7</v>
      </c>
      <c r="X38" s="1">
        <f t="shared" si="20"/>
        <v>-1007.0200000000001</v>
      </c>
      <c r="Y38" s="1">
        <f t="shared" si="20"/>
        <v>-1010.3600000000001</v>
      </c>
      <c r="Z38" s="1">
        <f t="shared" si="20"/>
        <v>-1011.3400000000001</v>
      </c>
      <c r="AA38" s="1">
        <f t="shared" si="20"/>
        <v>-1013.69</v>
      </c>
      <c r="AD38" s="1"/>
      <c r="AE38" s="1"/>
      <c r="AF38" s="1"/>
      <c r="AG38" s="1"/>
      <c r="AH38" s="1"/>
      <c r="AI38" s="1"/>
      <c r="AJ38" s="1"/>
      <c r="AL38" s="1"/>
      <c r="AM38" s="1"/>
      <c r="AN38" s="1"/>
      <c r="AO38" s="1"/>
      <c r="AP38" s="1"/>
      <c r="AQ38" s="1"/>
      <c r="AR38" s="1"/>
      <c r="AT38" s="1"/>
      <c r="AU38" s="1"/>
      <c r="AV38" s="1"/>
      <c r="AW38" s="1"/>
      <c r="AX38" s="1"/>
      <c r="AY38" s="1"/>
      <c r="BA38" s="1"/>
      <c r="BB38" s="1"/>
      <c r="BC38" s="1"/>
      <c r="BD38" s="1"/>
      <c r="BE38" s="1"/>
      <c r="BG38" s="1"/>
      <c r="BH38" s="1"/>
      <c r="BI38" s="1"/>
      <c r="BK38" s="1"/>
      <c r="BL38" s="1"/>
      <c r="BM38" s="1"/>
      <c r="BO38" s="1"/>
      <c r="BP38" s="1"/>
      <c r="BR38" s="1"/>
    </row>
    <row r="39" spans="1:70" x14ac:dyDescent="0.3">
      <c r="D39" t="s">
        <v>100</v>
      </c>
      <c r="R39" s="6" t="s">
        <v>6</v>
      </c>
      <c r="S39" s="1"/>
      <c r="T39" s="1"/>
      <c r="U39" s="1"/>
      <c r="V39" s="1"/>
      <c r="W39" s="1">
        <f>$U$18-V2-$AA$17*(1-BA4)</f>
        <v>-1006.7</v>
      </c>
      <c r="X39" s="1">
        <f t="shared" ref="X39:AA39" si="21">$U$18-W2-$AA$17*(1-BB4)</f>
        <v>-1007.0200000000001</v>
      </c>
      <c r="Y39" s="1">
        <f t="shared" si="21"/>
        <v>-1010.3600000000001</v>
      </c>
      <c r="Z39" s="1">
        <f t="shared" si="21"/>
        <v>-1011.3400000000001</v>
      </c>
      <c r="AA39" s="1">
        <f t="shared" si="21"/>
        <v>-1013.69</v>
      </c>
      <c r="AD39" s="1"/>
      <c r="AE39" s="1"/>
      <c r="AF39" s="1"/>
      <c r="AG39" s="1"/>
      <c r="AH39" s="1"/>
      <c r="AI39" s="1"/>
      <c r="AJ39" s="1"/>
      <c r="AL39" s="1"/>
      <c r="AM39" s="1"/>
      <c r="AN39" s="1"/>
      <c r="AO39" s="1"/>
      <c r="AP39" s="1"/>
      <c r="AQ39" s="1"/>
      <c r="AR39" s="1"/>
      <c r="AT39" s="1"/>
      <c r="AU39" s="1"/>
      <c r="AV39" s="1"/>
      <c r="AW39" s="1"/>
      <c r="AX39" s="1"/>
      <c r="AY39" s="1"/>
      <c r="BA39" s="1"/>
      <c r="BB39" s="1"/>
      <c r="BC39" s="1"/>
      <c r="BD39" s="1"/>
      <c r="BE39" s="1"/>
      <c r="BG39" s="1"/>
      <c r="BH39" s="1"/>
      <c r="BI39" s="1"/>
      <c r="BK39" s="1"/>
      <c r="BL39" s="1"/>
      <c r="BM39" s="1"/>
      <c r="BO39" s="1"/>
      <c r="BP39" s="1"/>
      <c r="BR39" s="1"/>
    </row>
    <row r="40" spans="1:70" x14ac:dyDescent="0.3">
      <c r="D40" t="s">
        <v>101</v>
      </c>
      <c r="R40" s="6" t="s">
        <v>8</v>
      </c>
      <c r="S40" s="1"/>
      <c r="T40" s="1"/>
      <c r="U40" s="1"/>
      <c r="V40" s="1"/>
      <c r="W40" s="1"/>
      <c r="X40" s="1"/>
      <c r="Y40" s="1">
        <f>$V$18-X2-$AA$17*(1-BG4)</f>
        <v>-1010.3600000000001</v>
      </c>
      <c r="Z40" s="1">
        <f t="shared" ref="Z40:AA40" si="22">$V$18-Y2-$AA$17*(1-BH4)</f>
        <v>-1011.3400000000001</v>
      </c>
      <c r="AA40" s="1">
        <f t="shared" si="22"/>
        <v>-1013.69</v>
      </c>
      <c r="AD40" s="1"/>
      <c r="AE40" s="1"/>
      <c r="AF40" s="1"/>
      <c r="AG40" s="1"/>
      <c r="AH40" s="1"/>
      <c r="AI40" s="1"/>
      <c r="AJ40" s="1"/>
      <c r="AL40" s="1"/>
      <c r="AM40" s="1"/>
      <c r="AN40" s="1"/>
      <c r="AO40" s="1"/>
      <c r="AP40" s="1"/>
      <c r="AQ40" s="1"/>
      <c r="AR40" s="1"/>
      <c r="AT40" s="1"/>
      <c r="AU40" s="1"/>
      <c r="AV40" s="1"/>
      <c r="AW40" s="1"/>
      <c r="AX40" s="1"/>
      <c r="AY40" s="1"/>
      <c r="BA40" s="1"/>
      <c r="BB40" s="1"/>
      <c r="BC40" s="1"/>
      <c r="BD40" s="1"/>
      <c r="BE40" s="1"/>
      <c r="BG40" s="1"/>
      <c r="BH40" s="1"/>
      <c r="BI40" s="1"/>
      <c r="BK40" s="1"/>
      <c r="BL40" s="1"/>
      <c r="BM40" s="1"/>
      <c r="BO40" s="1"/>
      <c r="BP40" s="1"/>
      <c r="BR40" s="1"/>
    </row>
    <row r="41" spans="1:70" x14ac:dyDescent="0.3">
      <c r="R41" s="6" t="s">
        <v>9</v>
      </c>
      <c r="S41" s="1"/>
      <c r="T41" s="1"/>
      <c r="U41" s="1"/>
      <c r="V41" s="1"/>
      <c r="W41" s="1"/>
      <c r="X41" s="1"/>
      <c r="Y41" s="1">
        <f>$W$18-X2-$AA$17*(1-BK4)</f>
        <v>-1010.3600000000001</v>
      </c>
      <c r="Z41" s="1">
        <f t="shared" ref="Z41:AA41" si="23">$W$18-Y2-$AA$17*(1-BL4)</f>
        <v>-1011.3400000000001</v>
      </c>
      <c r="AA41" s="1">
        <f t="shared" si="23"/>
        <v>-1013.69</v>
      </c>
      <c r="AD41" s="1"/>
      <c r="AE41" s="1"/>
      <c r="AF41" s="1"/>
      <c r="AG41" s="1"/>
      <c r="AH41" s="1"/>
      <c r="AI41" s="1"/>
      <c r="AJ41" s="1"/>
      <c r="AL41" s="1"/>
      <c r="AM41" s="1"/>
      <c r="AN41" s="1"/>
      <c r="AO41" s="1"/>
      <c r="AP41" s="1"/>
      <c r="AQ41" s="1"/>
      <c r="AR41" s="1"/>
      <c r="AT41" s="1"/>
      <c r="AU41" s="1"/>
      <c r="AV41" s="1"/>
      <c r="AW41" s="1"/>
      <c r="AX41" s="1"/>
      <c r="AY41" s="1"/>
      <c r="BA41" s="1"/>
      <c r="BB41" s="1"/>
      <c r="BC41" s="1"/>
      <c r="BD41" s="1"/>
      <c r="BE41" s="1"/>
      <c r="BG41" s="1"/>
      <c r="BH41" s="1"/>
      <c r="BI41" s="1"/>
      <c r="BK41" s="1"/>
      <c r="BL41" s="1"/>
      <c r="BM41" s="1"/>
      <c r="BO41" s="1"/>
      <c r="BP41" s="1"/>
      <c r="BR41" s="1"/>
    </row>
    <row r="42" spans="1:70" x14ac:dyDescent="0.3">
      <c r="A42" t="s">
        <v>25</v>
      </c>
      <c r="R42" s="6" t="s">
        <v>11</v>
      </c>
      <c r="S42" s="1"/>
      <c r="T42" s="1"/>
      <c r="U42" s="1"/>
      <c r="V42" s="1"/>
      <c r="W42" s="1"/>
      <c r="X42" s="1"/>
      <c r="Y42" s="1"/>
      <c r="Z42" s="1">
        <f>$X$18-Y2-$AA$17*(1-BO4)</f>
        <v>-1011.3400000000001</v>
      </c>
      <c r="AA42" s="1">
        <f>$X$18-Z2-$AA$17*(1-BP4)</f>
        <v>-1013.69</v>
      </c>
      <c r="AD42" s="1"/>
      <c r="AE42" s="1"/>
      <c r="AF42" s="1"/>
      <c r="AG42" s="1"/>
      <c r="AH42" s="1"/>
      <c r="AI42" s="1"/>
      <c r="AJ42" s="1"/>
      <c r="AL42" s="1"/>
      <c r="AM42" s="1"/>
      <c r="AN42" s="1"/>
      <c r="AO42" s="1"/>
      <c r="AP42" s="1"/>
      <c r="AQ42" s="1"/>
      <c r="AR42" s="1"/>
      <c r="AT42" s="1"/>
      <c r="AU42" s="1"/>
      <c r="AV42" s="1"/>
      <c r="AW42" s="1"/>
      <c r="AX42" s="1"/>
      <c r="AY42" s="1"/>
      <c r="BA42" s="1"/>
      <c r="BB42" s="1"/>
      <c r="BC42" s="1"/>
      <c r="BD42" s="1"/>
      <c r="BE42" s="1"/>
      <c r="BG42" s="1"/>
      <c r="BH42" s="1"/>
      <c r="BI42" s="1"/>
      <c r="BK42" s="1"/>
      <c r="BL42" s="1"/>
      <c r="BM42" s="1"/>
      <c r="BO42" s="1"/>
      <c r="BP42" s="1"/>
      <c r="BR42" s="1"/>
    </row>
    <row r="43" spans="1:70" x14ac:dyDescent="0.3">
      <c r="B43" s="3" t="s">
        <v>1</v>
      </c>
      <c r="C43" s="3" t="s">
        <v>2</v>
      </c>
      <c r="D43" t="s">
        <v>3</v>
      </c>
      <c r="E43" s="3" t="s">
        <v>4</v>
      </c>
      <c r="F43" t="s">
        <v>5</v>
      </c>
      <c r="G43" s="3" t="s">
        <v>6</v>
      </c>
      <c r="H43" t="s">
        <v>7</v>
      </c>
      <c r="I43" s="3" t="s">
        <v>8</v>
      </c>
      <c r="J43" s="3" t="s">
        <v>9</v>
      </c>
      <c r="K43" t="s">
        <v>10</v>
      </c>
      <c r="L43" s="3" t="s">
        <v>11</v>
      </c>
      <c r="M43" t="s">
        <v>12</v>
      </c>
      <c r="N43" s="3" t="s">
        <v>13</v>
      </c>
      <c r="O43" t="s">
        <v>14</v>
      </c>
      <c r="P43" s="3" t="s">
        <v>15</v>
      </c>
      <c r="R43" s="6" t="s">
        <v>13</v>
      </c>
      <c r="S43" s="1"/>
      <c r="T43" s="1"/>
      <c r="U43" s="1"/>
      <c r="V43" s="1"/>
      <c r="W43" s="1"/>
      <c r="X43" s="1"/>
      <c r="Y43" s="1"/>
      <c r="Z43" s="1"/>
      <c r="AA43" s="1">
        <f>$Y$18-Z2-$AA$17*(1-BR4)</f>
        <v>-1013.69</v>
      </c>
      <c r="AD43" s="1"/>
      <c r="AE43" s="1"/>
      <c r="AF43" s="1"/>
      <c r="AG43" s="1"/>
      <c r="AH43" s="1"/>
      <c r="AI43" s="1"/>
      <c r="AJ43" s="1"/>
      <c r="AL43" s="1"/>
      <c r="AM43" s="1"/>
      <c r="AN43" s="1"/>
      <c r="AO43" s="1"/>
      <c r="AP43" s="1"/>
      <c r="AQ43" s="1"/>
      <c r="AR43" s="1"/>
      <c r="AT43" s="1"/>
      <c r="AU43" s="1"/>
      <c r="AV43" s="1"/>
      <c r="AW43" s="1"/>
      <c r="AX43" s="1"/>
      <c r="AY43" s="1"/>
      <c r="BA43" s="1"/>
      <c r="BB43" s="1"/>
      <c r="BC43" s="1"/>
      <c r="BD43" s="1"/>
      <c r="BE43" s="1"/>
      <c r="BG43" s="1"/>
      <c r="BH43" s="1"/>
      <c r="BI43" s="1"/>
      <c r="BK43" s="1"/>
      <c r="BL43" s="1"/>
      <c r="BM43" s="1"/>
      <c r="BO43" s="1"/>
      <c r="BP43" s="1"/>
      <c r="BR43" s="1"/>
    </row>
    <row r="44" spans="1:70" x14ac:dyDescent="0.3">
      <c r="A44" s="1" t="s">
        <v>16</v>
      </c>
      <c r="B44" s="1"/>
      <c r="C44" s="1">
        <f>C16-B30</f>
        <v>0</v>
      </c>
      <c r="D44" s="1">
        <f t="shared" ref="D44:P46" si="24">D16-C30</f>
        <v>0</v>
      </c>
      <c r="E44" s="1">
        <f t="shared" si="24"/>
        <v>0</v>
      </c>
      <c r="F44" s="1">
        <f t="shared" si="24"/>
        <v>0</v>
      </c>
      <c r="G44" s="1">
        <f t="shared" si="24"/>
        <v>0.12000000000001965</v>
      </c>
      <c r="H44" s="1">
        <f t="shared" si="24"/>
        <v>-1.9539925233402755E-14</v>
      </c>
      <c r="I44" s="1">
        <f t="shared" si="24"/>
        <v>0</v>
      </c>
      <c r="J44" s="1">
        <f t="shared" si="24"/>
        <v>0.12000000000008004</v>
      </c>
      <c r="K44" s="1">
        <f t="shared" si="24"/>
        <v>0</v>
      </c>
      <c r="L44" s="1">
        <f t="shared" si="24"/>
        <v>3.0198066269804258E-14</v>
      </c>
      <c r="M44" s="1">
        <f t="shared" si="24"/>
        <v>0</v>
      </c>
      <c r="N44" s="1">
        <f t="shared" si="24"/>
        <v>8.9999999999999858E-2</v>
      </c>
      <c r="O44" s="1">
        <f t="shared" si="24"/>
        <v>0</v>
      </c>
      <c r="P44" s="11">
        <f t="shared" si="24"/>
        <v>0.2300000000000022</v>
      </c>
      <c r="R44" s="6" t="s">
        <v>15</v>
      </c>
      <c r="S44" s="1"/>
      <c r="T44" s="1"/>
      <c r="U44" s="1"/>
      <c r="V44" s="1"/>
      <c r="W44" s="1"/>
      <c r="X44" s="1"/>
      <c r="Y44" s="1"/>
      <c r="Z44" s="1"/>
      <c r="AA44" s="1"/>
      <c r="AD44" s="1"/>
      <c r="AE44" s="1"/>
      <c r="AF44" s="1"/>
      <c r="AG44" s="1"/>
      <c r="AH44" s="1"/>
      <c r="AI44" s="1"/>
      <c r="AJ44" s="1"/>
      <c r="AL44" s="1"/>
      <c r="AM44" s="1"/>
      <c r="AN44" s="1"/>
      <c r="AO44" s="1"/>
      <c r="AP44" s="1"/>
      <c r="AQ44" s="1"/>
      <c r="AR44" s="1"/>
      <c r="AT44" s="1"/>
      <c r="AU44" s="1"/>
      <c r="AV44" s="1"/>
      <c r="AW44" s="1"/>
      <c r="AX44" s="1"/>
      <c r="AY44" s="1"/>
      <c r="BA44" s="1"/>
      <c r="BB44" s="1"/>
      <c r="BC44" s="1"/>
      <c r="BD44" s="1"/>
      <c r="BE44" s="1"/>
      <c r="BG44" s="1"/>
      <c r="BH44" s="1"/>
      <c r="BI44" s="1"/>
      <c r="BK44" s="1"/>
      <c r="BL44" s="1"/>
      <c r="BM44" s="1"/>
      <c r="BO44" s="1"/>
      <c r="BP44" s="1"/>
      <c r="BR44" s="1"/>
    </row>
    <row r="45" spans="1:70" x14ac:dyDescent="0.3">
      <c r="A45" s="8" t="s">
        <v>18</v>
      </c>
      <c r="B45" s="8"/>
      <c r="C45" s="8">
        <f>C17-B31</f>
        <v>0.12000000000002098</v>
      </c>
      <c r="D45" s="8">
        <f t="shared" si="24"/>
        <v>0</v>
      </c>
      <c r="E45" s="8">
        <f t="shared" si="24"/>
        <v>9.0000000000048708E-2</v>
      </c>
      <c r="F45" s="8">
        <f t="shared" si="24"/>
        <v>0</v>
      </c>
      <c r="G45" s="8">
        <f t="shared" si="24"/>
        <v>-6.9277916736609768E-14</v>
      </c>
      <c r="H45" s="8">
        <f t="shared" si="24"/>
        <v>0</v>
      </c>
      <c r="I45" s="8">
        <f t="shared" si="24"/>
        <v>7.1054273576010019E-14</v>
      </c>
      <c r="J45" s="8">
        <f t="shared" si="24"/>
        <v>0.1200000000000756</v>
      </c>
      <c r="K45" s="8">
        <f t="shared" si="24"/>
        <v>0</v>
      </c>
      <c r="L45" s="8">
        <f t="shared" si="24"/>
        <v>-4.6185277824406512E-14</v>
      </c>
      <c r="M45" s="8">
        <f t="shared" si="24"/>
        <v>-9.7699626167013776E-14</v>
      </c>
      <c r="N45" s="8">
        <f t="shared" si="24"/>
        <v>9.5923269327613525E-14</v>
      </c>
      <c r="O45" s="8">
        <f t="shared" si="24"/>
        <v>0</v>
      </c>
      <c r="P45" s="19">
        <f t="shared" si="24"/>
        <v>0.25000000000000533</v>
      </c>
      <c r="AD45" s="1"/>
      <c r="AE45" s="1"/>
      <c r="AF45" s="1"/>
      <c r="AG45" s="1"/>
      <c r="AH45" s="1"/>
      <c r="AI45" s="1"/>
      <c r="AJ45" s="1"/>
      <c r="AL45" s="1"/>
      <c r="AM45" s="1"/>
      <c r="AN45" s="1"/>
      <c r="AO45" s="1"/>
      <c r="AP45" s="1"/>
      <c r="AQ45" s="1"/>
      <c r="AR45" s="1"/>
      <c r="AT45" s="1"/>
      <c r="AU45" s="1"/>
      <c r="AV45" s="1"/>
      <c r="AW45" s="1"/>
      <c r="AX45" s="1"/>
      <c r="AY45" s="1"/>
      <c r="BA45" s="1"/>
      <c r="BB45" s="1"/>
      <c r="BC45" s="1"/>
      <c r="BD45" s="1"/>
      <c r="BE45" s="1"/>
      <c r="BG45" s="1"/>
      <c r="BH45" s="1"/>
      <c r="BI45" s="1"/>
      <c r="BK45" s="1"/>
      <c r="BL45" s="1"/>
      <c r="BM45" s="1"/>
      <c r="BO45" s="1"/>
      <c r="BP45" s="1"/>
      <c r="BR45" s="1"/>
    </row>
    <row r="46" spans="1:70" x14ac:dyDescent="0.3">
      <c r="A46" s="1" t="s">
        <v>28</v>
      </c>
      <c r="B46" s="1"/>
      <c r="C46" s="8">
        <f>C18-B32</f>
        <v>0</v>
      </c>
      <c r="D46" s="8">
        <f t="shared" si="24"/>
        <v>0</v>
      </c>
      <c r="E46" s="8">
        <f t="shared" si="24"/>
        <v>0</v>
      </c>
      <c r="F46" s="8">
        <f t="shared" si="24"/>
        <v>0</v>
      </c>
      <c r="G46" s="8">
        <f t="shared" si="24"/>
        <v>0</v>
      </c>
      <c r="H46" s="8">
        <f t="shared" si="24"/>
        <v>0</v>
      </c>
      <c r="I46" s="8">
        <f t="shared" si="24"/>
        <v>0</v>
      </c>
      <c r="J46" s="8">
        <f t="shared" si="24"/>
        <v>0</v>
      </c>
      <c r="K46" s="8">
        <f t="shared" si="24"/>
        <v>0</v>
      </c>
      <c r="L46" s="8">
        <f t="shared" si="24"/>
        <v>0</v>
      </c>
      <c r="M46" s="8">
        <f t="shared" si="24"/>
        <v>0</v>
      </c>
      <c r="N46" s="8">
        <f t="shared" si="24"/>
        <v>0</v>
      </c>
      <c r="O46" s="8">
        <f t="shared" si="24"/>
        <v>0</v>
      </c>
      <c r="P46" s="19">
        <f>P18-O32</f>
        <v>0</v>
      </c>
      <c r="AD46" s="1"/>
      <c r="AE46" s="1"/>
      <c r="AF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T46" s="1"/>
      <c r="AU46" s="1"/>
      <c r="AV46" s="1"/>
      <c r="AW46" s="1"/>
      <c r="AX46" s="1"/>
      <c r="AY46" s="1"/>
      <c r="BA46" s="1"/>
      <c r="BB46" s="1"/>
      <c r="BC46" s="1"/>
      <c r="BD46" s="1"/>
      <c r="BE46" s="1"/>
      <c r="BG46" s="1"/>
      <c r="BH46" s="1"/>
      <c r="BI46" s="1"/>
      <c r="BK46" s="1"/>
      <c r="BL46" s="1"/>
      <c r="BM46" s="1"/>
      <c r="BO46" s="1"/>
      <c r="BP46" s="1"/>
      <c r="BR46" s="1"/>
    </row>
    <row r="47" spans="1:70" x14ac:dyDescent="0.3">
      <c r="R47" t="s">
        <v>38</v>
      </c>
      <c r="AD47" s="1"/>
      <c r="AE47" s="1"/>
      <c r="AF47" s="1"/>
      <c r="AG47" s="1"/>
      <c r="AH47" s="1"/>
      <c r="AI47" s="1"/>
      <c r="AJ47" s="1"/>
      <c r="AL47" s="1"/>
      <c r="AM47" s="1"/>
      <c r="AN47" s="1"/>
      <c r="AO47" s="1"/>
      <c r="AP47" s="1"/>
      <c r="AQ47" s="1"/>
      <c r="AR47" s="1"/>
      <c r="AT47" s="1"/>
      <c r="AU47" s="1"/>
      <c r="AV47" s="1"/>
      <c r="AW47" s="1"/>
      <c r="AX47" s="1"/>
      <c r="AY47" s="1"/>
      <c r="BA47" s="1"/>
      <c r="BB47" s="1"/>
      <c r="BC47" s="1"/>
      <c r="BD47" s="1"/>
      <c r="BE47" s="1"/>
      <c r="BG47" s="1"/>
      <c r="BH47" s="1"/>
      <c r="BI47" s="1"/>
      <c r="BK47" s="1"/>
      <c r="BL47" s="1"/>
      <c r="BM47" s="1"/>
      <c r="BO47" s="1"/>
      <c r="BP47" s="1"/>
      <c r="BR47" s="1"/>
    </row>
    <row r="48" spans="1:70" x14ac:dyDescent="0.3">
      <c r="R48" s="1"/>
      <c r="S48" s="6" t="s">
        <v>1</v>
      </c>
      <c r="T48" s="6" t="s">
        <v>2</v>
      </c>
      <c r="U48" s="6" t="s">
        <v>4</v>
      </c>
      <c r="V48" s="6" t="s">
        <v>6</v>
      </c>
      <c r="W48" s="6" t="s">
        <v>8</v>
      </c>
      <c r="X48" s="6" t="s">
        <v>9</v>
      </c>
      <c r="Y48" s="6" t="s">
        <v>11</v>
      </c>
      <c r="Z48" s="6" t="s">
        <v>13</v>
      </c>
      <c r="AA48" s="6" t="s">
        <v>15</v>
      </c>
      <c r="AD48" s="1"/>
      <c r="AE48" s="1"/>
      <c r="AF48" s="1"/>
      <c r="AG48" s="1"/>
      <c r="AH48" s="1"/>
      <c r="AI48" s="1"/>
      <c r="AJ48" s="1"/>
      <c r="AL48" s="1"/>
      <c r="AM48" s="1"/>
      <c r="AN48" s="1"/>
      <c r="AO48" s="1"/>
      <c r="AP48" s="1"/>
      <c r="AQ48" s="1"/>
      <c r="AR48" s="1"/>
      <c r="AT48" s="1"/>
      <c r="AU48" s="1"/>
      <c r="AV48" s="1"/>
      <c r="AW48" s="1"/>
      <c r="AX48" s="1"/>
      <c r="AY48" s="1"/>
      <c r="BA48" s="1"/>
      <c r="BB48" s="1"/>
      <c r="BC48" s="1"/>
      <c r="BD48" s="1"/>
      <c r="BE48" s="1"/>
      <c r="BG48" s="1"/>
      <c r="BH48" s="1"/>
      <c r="BI48" s="1"/>
      <c r="BK48" s="1"/>
      <c r="BL48" s="1"/>
      <c r="BM48" s="1"/>
      <c r="BO48" s="1"/>
      <c r="BP48" s="1"/>
      <c r="BR48" s="1"/>
    </row>
    <row r="49" spans="1:70" x14ac:dyDescent="0.3">
      <c r="R49" s="6" t="s">
        <v>1</v>
      </c>
      <c r="S49" s="1"/>
      <c r="T49" s="1"/>
      <c r="U49" s="1">
        <f>$R$18-T3-$AA$17*(1-AD5)</f>
        <v>-1006.0100000000001</v>
      </c>
      <c r="V49" s="1">
        <f t="shared" ref="V49:AA49" si="25">$R$18-U3-$AA$17*(1-AE5)</f>
        <v>-1006.9</v>
      </c>
      <c r="W49" s="1">
        <f t="shared" si="25"/>
        <v>-1009.0200000000001</v>
      </c>
      <c r="X49" s="1">
        <f t="shared" si="25"/>
        <v>-1010.4800000000001</v>
      </c>
      <c r="Y49" s="1">
        <f t="shared" si="25"/>
        <v>-1012.6800000000001</v>
      </c>
      <c r="Z49" s="1">
        <f t="shared" si="25"/>
        <v>-1013.57</v>
      </c>
      <c r="AA49" s="1">
        <f t="shared" si="25"/>
        <v>-1015.94</v>
      </c>
      <c r="AD49" s="1"/>
      <c r="AE49" s="1"/>
      <c r="AF49" s="1"/>
      <c r="AG49" s="1"/>
      <c r="AH49" s="1"/>
      <c r="AI49" s="1"/>
      <c r="AJ49" s="1"/>
      <c r="AL49" s="1"/>
      <c r="AM49" s="1"/>
      <c r="AN49" s="1"/>
      <c r="AO49" s="1"/>
      <c r="AP49" s="1"/>
      <c r="AQ49" s="1"/>
      <c r="AR49" s="1"/>
      <c r="AT49" s="1"/>
      <c r="AU49" s="1"/>
      <c r="AV49" s="1"/>
      <c r="AW49" s="1"/>
      <c r="AX49" s="1"/>
      <c r="AY49" s="1"/>
      <c r="BA49" s="1"/>
      <c r="BB49" s="1"/>
      <c r="BC49" s="1"/>
      <c r="BD49" s="1"/>
      <c r="BE49" s="1"/>
      <c r="BG49" s="1"/>
      <c r="BH49" s="1"/>
      <c r="BI49" s="1"/>
      <c r="BK49" s="1"/>
      <c r="BL49" s="1"/>
      <c r="BM49" s="1"/>
      <c r="BO49" s="1"/>
      <c r="BP49" s="1"/>
      <c r="BR49" s="1"/>
    </row>
    <row r="50" spans="1:70" x14ac:dyDescent="0.3">
      <c r="A50" t="s">
        <v>19</v>
      </c>
      <c r="R50" s="6" t="s">
        <v>2</v>
      </c>
      <c r="S50" s="1"/>
      <c r="T50" s="1"/>
      <c r="U50" s="1">
        <f>$S$18-T3-$AA$17*(1-AL5)</f>
        <v>-1006.0100000000001</v>
      </c>
      <c r="V50" s="1">
        <f t="shared" ref="V50:AA50" si="26">$S$18-U3-$AA$17*(1-AM5)</f>
        <v>-1006.9</v>
      </c>
      <c r="W50" s="1">
        <f t="shared" si="26"/>
        <v>-1009.0200000000001</v>
      </c>
      <c r="X50" s="1">
        <f t="shared" si="26"/>
        <v>-1010.4800000000001</v>
      </c>
      <c r="Y50" s="1">
        <f t="shared" si="26"/>
        <v>-1012.6800000000001</v>
      </c>
      <c r="Z50" s="1">
        <f t="shared" si="26"/>
        <v>-1013.57</v>
      </c>
      <c r="AA50" s="1">
        <f t="shared" si="26"/>
        <v>-1015.94</v>
      </c>
      <c r="AD50" s="1"/>
      <c r="AE50" s="1"/>
      <c r="AF50" s="1"/>
      <c r="AG50" s="1"/>
      <c r="AH50" s="1"/>
      <c r="AI50" s="1"/>
      <c r="AJ50" s="1"/>
      <c r="AL50" s="1"/>
      <c r="AM50" s="1"/>
      <c r="AN50" s="1"/>
      <c r="AO50" s="1"/>
      <c r="AP50" s="1"/>
      <c r="AQ50" s="1"/>
      <c r="AR50" s="1"/>
      <c r="AT50" s="1"/>
      <c r="AU50" s="1"/>
      <c r="AV50" s="1"/>
      <c r="AW50" s="1"/>
      <c r="AX50" s="1"/>
      <c r="AY50" s="1"/>
      <c r="BA50" s="1"/>
      <c r="BB50" s="1"/>
      <c r="BC50" s="1"/>
      <c r="BD50" s="1"/>
      <c r="BE50" s="1"/>
      <c r="BG50" s="1"/>
      <c r="BH50" s="1"/>
      <c r="BI50" s="1"/>
      <c r="BK50" s="1"/>
      <c r="BL50" s="1"/>
      <c r="BM50" s="1"/>
      <c r="BO50" s="1"/>
      <c r="BP50" s="1"/>
      <c r="BR50" s="1"/>
    </row>
    <row r="51" spans="1:70" x14ac:dyDescent="0.3">
      <c r="A51" t="s">
        <v>20</v>
      </c>
      <c r="R51" s="6" t="s">
        <v>4</v>
      </c>
      <c r="S51" s="1"/>
      <c r="T51" s="1"/>
      <c r="U51" s="1"/>
      <c r="V51" s="1">
        <f>$T$18-U3-$AA$17*(1-AT5)</f>
        <v>-1006.9</v>
      </c>
      <c r="W51" s="1">
        <f t="shared" ref="W51:AA51" si="27">$T$18-V3-$AA$17*(1-AU5)</f>
        <v>-1009.0200000000001</v>
      </c>
      <c r="X51" s="1">
        <f t="shared" si="27"/>
        <v>-1010.4800000000001</v>
      </c>
      <c r="Y51" s="1">
        <f t="shared" si="27"/>
        <v>-1012.6800000000001</v>
      </c>
      <c r="Z51" s="1">
        <f t="shared" si="27"/>
        <v>-1013.57</v>
      </c>
      <c r="AA51" s="1">
        <f t="shared" si="27"/>
        <v>-1015.94</v>
      </c>
      <c r="AD51" s="1"/>
      <c r="AE51" s="1"/>
      <c r="AF51" s="1"/>
      <c r="AG51" s="1"/>
      <c r="AH51" s="1"/>
      <c r="AI51" s="1"/>
      <c r="AJ51" s="1"/>
      <c r="AL51" s="1"/>
      <c r="AM51" s="1"/>
      <c r="AN51" s="1"/>
      <c r="AO51" s="1"/>
      <c r="AP51" s="1"/>
      <c r="AQ51" s="1"/>
      <c r="AR51" s="1"/>
      <c r="AT51" s="1"/>
      <c r="AU51" s="1"/>
      <c r="AV51" s="1"/>
      <c r="AW51" s="1"/>
      <c r="AX51" s="1"/>
      <c r="AY51" s="1"/>
      <c r="BA51" s="1"/>
      <c r="BB51" s="1"/>
      <c r="BC51" s="1"/>
      <c r="BD51" s="1"/>
      <c r="BE51" s="1"/>
      <c r="BG51" s="1"/>
      <c r="BH51" s="1"/>
      <c r="BI51" s="1"/>
      <c r="BK51" s="1"/>
      <c r="BL51" s="1"/>
      <c r="BM51" s="1"/>
      <c r="BO51" s="1"/>
      <c r="BP51" s="1"/>
      <c r="BR51" s="1"/>
    </row>
    <row r="52" spans="1:70" x14ac:dyDescent="0.3">
      <c r="A52" t="s">
        <v>23</v>
      </c>
      <c r="R52" s="6" t="s">
        <v>6</v>
      </c>
      <c r="S52" s="1"/>
      <c r="T52" s="1"/>
      <c r="U52" s="1"/>
      <c r="V52" s="1"/>
      <c r="W52" s="1">
        <f>$U$18-V3-$AA$17*(1-BA5)</f>
        <v>-1009.0200000000001</v>
      </c>
      <c r="X52" s="1">
        <f t="shared" ref="X52:AA52" si="28">$U$18-W3-$AA$17*(1-BB5)</f>
        <v>-1010.4800000000001</v>
      </c>
      <c r="Y52" s="1">
        <f t="shared" si="28"/>
        <v>-1012.6800000000001</v>
      </c>
      <c r="Z52" s="1">
        <f t="shared" si="28"/>
        <v>-1013.57</v>
      </c>
      <c r="AA52" s="1">
        <f t="shared" si="28"/>
        <v>-1015.94</v>
      </c>
      <c r="AD52" s="1"/>
      <c r="AE52" s="1"/>
      <c r="AF52" s="1"/>
      <c r="AG52" s="1"/>
      <c r="AH52" s="1"/>
      <c r="AI52" s="1"/>
      <c r="AJ52" s="1"/>
      <c r="AL52" s="1"/>
      <c r="AM52" s="1"/>
      <c r="AN52" s="1"/>
      <c r="AO52" s="1"/>
      <c r="AP52" s="1"/>
      <c r="AQ52" s="1"/>
      <c r="AR52" s="1"/>
      <c r="AT52" s="1"/>
      <c r="AU52" s="1"/>
      <c r="AV52" s="1"/>
      <c r="AW52" s="1"/>
      <c r="AX52" s="1"/>
      <c r="AY52" s="1"/>
      <c r="BA52" s="1"/>
      <c r="BB52" s="1"/>
      <c r="BC52" s="1"/>
      <c r="BD52" s="1"/>
      <c r="BE52" s="1"/>
      <c r="BG52" s="1"/>
      <c r="BH52" s="1"/>
      <c r="BI52" s="1"/>
      <c r="BK52" s="1"/>
      <c r="BL52" s="1"/>
      <c r="BM52" s="1"/>
      <c r="BO52" s="1"/>
      <c r="BP52" s="1"/>
      <c r="BR52" s="1"/>
    </row>
    <row r="53" spans="1:70" x14ac:dyDescent="0.3">
      <c r="A53" t="s">
        <v>24</v>
      </c>
      <c r="R53" s="6" t="s">
        <v>8</v>
      </c>
      <c r="S53" s="1"/>
      <c r="T53" s="1"/>
      <c r="U53" s="1"/>
      <c r="V53" s="1"/>
      <c r="W53" s="1"/>
      <c r="X53" s="1"/>
      <c r="Y53" s="1">
        <f>$V$18-X3-$AA$17*(1-BG5)</f>
        <v>-1012.6800000000001</v>
      </c>
      <c r="Z53" s="1">
        <f t="shared" ref="Z53:AA53" si="29">$V$18-Y3-$AA$17*(1-BH5)</f>
        <v>-1013.57</v>
      </c>
      <c r="AA53" s="1">
        <f t="shared" si="29"/>
        <v>-1015.94</v>
      </c>
      <c r="AD53" s="1"/>
      <c r="AE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R53" s="1"/>
      <c r="AT53" s="1"/>
      <c r="AU53" s="1"/>
      <c r="AV53" s="1"/>
      <c r="AW53" s="1"/>
      <c r="AX53" s="1"/>
      <c r="AY53" s="1"/>
      <c r="BA53" s="1"/>
      <c r="BB53" s="1"/>
      <c r="BC53" s="1"/>
      <c r="BD53" s="1"/>
      <c r="BE53" s="1"/>
      <c r="BG53" s="1"/>
      <c r="BH53" s="1"/>
      <c r="BI53" s="1"/>
      <c r="BK53" s="1"/>
      <c r="BL53" s="1"/>
      <c r="BM53" s="1"/>
      <c r="BO53" s="1"/>
      <c r="BP53" s="1"/>
      <c r="BR53" s="1"/>
    </row>
    <row r="54" spans="1:70" x14ac:dyDescent="0.3">
      <c r="R54" s="6" t="s">
        <v>9</v>
      </c>
      <c r="S54" s="1"/>
      <c r="T54" s="1"/>
      <c r="U54" s="1"/>
      <c r="V54" s="1"/>
      <c r="W54" s="1"/>
      <c r="X54" s="1"/>
      <c r="Y54" s="1">
        <f>$W$18-X3-$AA$17*(1-BK5)</f>
        <v>-1012.6800000000001</v>
      </c>
      <c r="Z54" s="1">
        <f t="shared" ref="Z54:AA54" si="30">$W$18-Y3-$AA$17*(1-BL5)</f>
        <v>-1013.57</v>
      </c>
      <c r="AA54" s="1">
        <f t="shared" si="30"/>
        <v>-1015.94</v>
      </c>
      <c r="AD54" s="1"/>
      <c r="AE54" s="1"/>
      <c r="AF54" s="1"/>
      <c r="AG54" s="1"/>
      <c r="AH54" s="1"/>
      <c r="AI54" s="1"/>
      <c r="AJ54" s="1"/>
      <c r="AL54" s="1"/>
      <c r="AM54" s="1"/>
      <c r="AN54" s="1"/>
      <c r="AO54" s="1"/>
      <c r="AP54" s="1"/>
      <c r="AQ54" s="1"/>
      <c r="AR54" s="1"/>
      <c r="AT54" s="1"/>
      <c r="AU54" s="1"/>
      <c r="AV54" s="1"/>
      <c r="AW54" s="1"/>
      <c r="AX54" s="1"/>
      <c r="AY54" s="1"/>
      <c r="BA54" s="1"/>
      <c r="BB54" s="1"/>
      <c r="BC54" s="1"/>
      <c r="BD54" s="1"/>
      <c r="BE54" s="1"/>
      <c r="BG54" s="1"/>
      <c r="BH54" s="1"/>
      <c r="BI54" s="1"/>
      <c r="BK54" s="1"/>
      <c r="BL54" s="1"/>
      <c r="BM54" s="1"/>
      <c r="BO54" s="1"/>
      <c r="BP54" s="1"/>
      <c r="BR54" s="1"/>
    </row>
    <row r="55" spans="1:70" x14ac:dyDescent="0.3">
      <c r="R55" s="6" t="s">
        <v>11</v>
      </c>
      <c r="S55" s="1"/>
      <c r="T55" s="1"/>
      <c r="U55" s="1"/>
      <c r="V55" s="1"/>
      <c r="W55" s="1"/>
      <c r="X55" s="1"/>
      <c r="Y55" s="1"/>
      <c r="Z55" s="1">
        <f>$X$18-Y3-$AA$17*(1-BO5)</f>
        <v>-1013.57</v>
      </c>
      <c r="AA55" s="1">
        <f>$X$18-Z3-$AA$17*(1-BP5)</f>
        <v>-1015.94</v>
      </c>
      <c r="AD55" s="1"/>
      <c r="AE55" s="1"/>
      <c r="AF55" s="1"/>
      <c r="AG55" s="1"/>
      <c r="AH55" s="1"/>
      <c r="AI55" s="1"/>
      <c r="AJ55" s="1"/>
      <c r="AL55" s="1"/>
      <c r="AM55" s="1"/>
      <c r="AN55" s="1"/>
      <c r="AO55" s="1"/>
      <c r="AP55" s="1"/>
      <c r="AQ55" s="1"/>
      <c r="AR55" s="1"/>
      <c r="AT55" s="1"/>
      <c r="AU55" s="1"/>
      <c r="AV55" s="1"/>
      <c r="AW55" s="1"/>
      <c r="AX55" s="1"/>
      <c r="AY55" s="1"/>
      <c r="BA55" s="1"/>
      <c r="BB55" s="1"/>
      <c r="BC55" s="1"/>
      <c r="BD55" s="1"/>
      <c r="BE55" s="1"/>
      <c r="BG55" s="1"/>
      <c r="BH55" s="1"/>
      <c r="BI55" s="1"/>
      <c r="BK55" s="1"/>
      <c r="BL55" s="1"/>
      <c r="BM55" s="1"/>
      <c r="BO55" s="1"/>
      <c r="BP55" s="1"/>
      <c r="BR55" s="1"/>
    </row>
    <row r="56" spans="1:70" x14ac:dyDescent="0.3">
      <c r="A56" t="s">
        <v>25</v>
      </c>
      <c r="R56" s="6" t="s">
        <v>13</v>
      </c>
      <c r="S56" s="1"/>
      <c r="T56" s="1"/>
      <c r="U56" s="1"/>
      <c r="V56" s="1"/>
      <c r="W56" s="1"/>
      <c r="X56" s="1"/>
      <c r="Y56" s="1"/>
      <c r="Z56" s="1"/>
      <c r="AA56" s="1">
        <f>$Y$18-Z3-$AA$17*(1-BR5)</f>
        <v>-1015.94</v>
      </c>
      <c r="AD56" s="1"/>
      <c r="AE56" s="1"/>
      <c r="AF56" s="1"/>
      <c r="AG56" s="1"/>
      <c r="AH56" s="1"/>
      <c r="AI56" s="1"/>
      <c r="AJ56" s="1"/>
      <c r="AL56" s="1"/>
      <c r="AM56" s="1"/>
      <c r="AN56" s="1"/>
      <c r="AO56" s="1"/>
      <c r="AP56" s="1"/>
      <c r="AQ56" s="1"/>
      <c r="AR56" s="1"/>
      <c r="AT56" s="1"/>
      <c r="AU56" s="1"/>
      <c r="AV56" s="1"/>
      <c r="AW56" s="1"/>
      <c r="AX56" s="1"/>
      <c r="AY56" s="1"/>
      <c r="BA56" s="1"/>
      <c r="BB56" s="1"/>
      <c r="BC56" s="1"/>
      <c r="BD56" s="1"/>
      <c r="BE56" s="1"/>
      <c r="BG56" s="1"/>
      <c r="BH56" s="1"/>
      <c r="BI56" s="1"/>
      <c r="BK56" s="1"/>
      <c r="BL56" s="1"/>
      <c r="BM56" s="1"/>
      <c r="BO56" s="1"/>
      <c r="BP56" s="1"/>
      <c r="BR56" s="1"/>
    </row>
    <row r="57" spans="1:70" x14ac:dyDescent="0.3">
      <c r="B57" s="3" t="s">
        <v>1</v>
      </c>
      <c r="C57" s="3" t="s">
        <v>2</v>
      </c>
      <c r="D57" t="s">
        <v>3</v>
      </c>
      <c r="E57" s="3" t="s">
        <v>4</v>
      </c>
      <c r="F57" t="s">
        <v>5</v>
      </c>
      <c r="G57" s="3" t="s">
        <v>6</v>
      </c>
      <c r="H57" t="s">
        <v>7</v>
      </c>
      <c r="I57" s="3" t="s">
        <v>8</v>
      </c>
      <c r="J57" s="3" t="s">
        <v>9</v>
      </c>
      <c r="K57" t="s">
        <v>10</v>
      </c>
      <c r="L57" s="3" t="s">
        <v>11</v>
      </c>
      <c r="M57" t="s">
        <v>12</v>
      </c>
      <c r="N57" s="3" t="s">
        <v>13</v>
      </c>
      <c r="O57" t="s">
        <v>14</v>
      </c>
      <c r="P57" s="3" t="s">
        <v>15</v>
      </c>
      <c r="R57" s="6" t="s">
        <v>15</v>
      </c>
      <c r="S57" s="1"/>
      <c r="T57" s="1"/>
      <c r="U57" s="1"/>
      <c r="V57" s="1"/>
      <c r="W57" s="1"/>
      <c r="X57" s="1"/>
      <c r="Y57" s="1"/>
      <c r="Z57" s="1"/>
      <c r="AA57" s="1"/>
      <c r="AD57" s="1"/>
      <c r="AE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R57" s="1"/>
      <c r="AT57" s="1"/>
      <c r="AU57" s="1"/>
      <c r="AV57" s="1"/>
      <c r="AW57" s="1"/>
      <c r="AX57" s="1"/>
      <c r="AY57" s="1"/>
      <c r="BA57" s="1"/>
      <c r="BB57" s="1"/>
      <c r="BC57" s="1"/>
      <c r="BD57" s="1"/>
      <c r="BE57" s="1"/>
      <c r="BG57" s="1"/>
      <c r="BH57" s="1"/>
      <c r="BI57" s="1"/>
      <c r="BK57" s="1"/>
      <c r="BL57" s="1"/>
      <c r="BM57" s="1"/>
      <c r="BO57" s="1"/>
      <c r="BP57" s="1"/>
      <c r="BR57" s="1"/>
    </row>
    <row r="58" spans="1:70" x14ac:dyDescent="0.3">
      <c r="A58" s="1" t="s">
        <v>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1"/>
      <c r="AD58" s="1"/>
      <c r="AE58" s="1"/>
      <c r="AF58" s="1"/>
      <c r="AG58" s="1"/>
      <c r="AH58" s="1"/>
      <c r="AI58" s="1"/>
      <c r="AJ58" s="1"/>
      <c r="AL58" s="1"/>
      <c r="AM58" s="1"/>
      <c r="AN58" s="1"/>
      <c r="AO58" s="1"/>
      <c r="AP58" s="1"/>
      <c r="AQ58" s="1"/>
      <c r="AR58" s="1"/>
      <c r="AT58" s="1"/>
      <c r="AU58" s="1"/>
      <c r="AV58" s="1"/>
      <c r="AW58" s="1"/>
      <c r="AX58" s="1"/>
      <c r="AY58" s="1"/>
      <c r="BA58" s="1"/>
      <c r="BB58" s="1"/>
      <c r="BC58" s="1"/>
      <c r="BD58" s="1"/>
      <c r="BE58" s="1"/>
      <c r="BG58" s="1"/>
      <c r="BH58" s="1"/>
      <c r="BI58" s="1"/>
      <c r="BK58" s="1"/>
      <c r="BL58" s="1"/>
      <c r="BM58" s="1"/>
      <c r="BO58" s="1"/>
      <c r="BP58" s="1"/>
      <c r="BR58" s="1"/>
    </row>
    <row r="59" spans="1:70" x14ac:dyDescent="0.3">
      <c r="A59" s="1" t="s">
        <v>18</v>
      </c>
      <c r="B59" s="1">
        <f>B17-C30</f>
        <v>0</v>
      </c>
      <c r="C59" s="1">
        <f t="shared" ref="C59:P60" si="31">C17-C30</f>
        <v>1.46</v>
      </c>
      <c r="D59" s="1">
        <f t="shared" si="31"/>
        <v>1.0100000000000211</v>
      </c>
      <c r="E59" s="1">
        <f t="shared" si="31"/>
        <v>2.32000000000007</v>
      </c>
      <c r="F59" s="1">
        <f t="shared" si="31"/>
        <v>1.6700000000000701</v>
      </c>
      <c r="G59" s="1">
        <f t="shared" si="31"/>
        <v>2.1999999999999806</v>
      </c>
      <c r="H59" s="1">
        <f t="shared" si="31"/>
        <v>0.32000000000000028</v>
      </c>
      <c r="I59" s="1">
        <f>I17-J30</f>
        <v>0</v>
      </c>
      <c r="J59" s="1">
        <f t="shared" si="31"/>
        <v>1.4600000000000186</v>
      </c>
      <c r="K59" s="1">
        <f t="shared" si="31"/>
        <v>0.98000000000007503</v>
      </c>
      <c r="L59" s="1">
        <f t="shared" si="31"/>
        <v>2.1999999999999993</v>
      </c>
      <c r="M59" s="1">
        <f t="shared" si="31"/>
        <v>1.5499999999999012</v>
      </c>
      <c r="N59" s="1">
        <f t="shared" si="31"/>
        <v>2.1099999999999977</v>
      </c>
      <c r="O59" s="1">
        <f t="shared" si="31"/>
        <v>0.22999999999999687</v>
      </c>
      <c r="P59" s="11">
        <f t="shared" si="31"/>
        <v>0</v>
      </c>
      <c r="AD59" s="1"/>
      <c r="AE59" s="1"/>
      <c r="AF59" s="1"/>
      <c r="AG59" s="1"/>
      <c r="AH59" s="1"/>
      <c r="AI59" s="1"/>
      <c r="AJ59" s="1"/>
      <c r="AL59" s="1"/>
      <c r="AM59" s="1"/>
      <c r="AN59" s="1"/>
      <c r="AO59" s="1"/>
      <c r="AP59" s="1"/>
      <c r="AQ59" s="1"/>
      <c r="AR59" s="1"/>
      <c r="AT59" s="1"/>
      <c r="AU59" s="1"/>
      <c r="AV59" s="1"/>
      <c r="AW59" s="1"/>
      <c r="AX59" s="1"/>
      <c r="AY59" s="1"/>
      <c r="BA59" s="1"/>
      <c r="BB59" s="1"/>
      <c r="BC59" s="1"/>
      <c r="BD59" s="1"/>
      <c r="BE59" s="1"/>
      <c r="BG59" s="1"/>
      <c r="BH59" s="1"/>
      <c r="BI59" s="1"/>
      <c r="BK59" s="1"/>
      <c r="BL59" s="1"/>
      <c r="BM59" s="1"/>
      <c r="BO59" s="1"/>
      <c r="BP59" s="1"/>
      <c r="BR59" s="1"/>
    </row>
    <row r="60" spans="1:70" x14ac:dyDescent="0.3">
      <c r="A60" s="1" t="s">
        <v>28</v>
      </c>
      <c r="B60" s="1">
        <f>B18-C31</f>
        <v>-4.5800000000000214</v>
      </c>
      <c r="C60" s="1">
        <f t="shared" si="31"/>
        <v>-4.5800000000000214</v>
      </c>
      <c r="D60" s="1">
        <f t="shared" si="31"/>
        <v>-5.9200000000000212</v>
      </c>
      <c r="E60" s="1">
        <f t="shared" si="31"/>
        <v>-6.1300000000000701</v>
      </c>
      <c r="F60" s="1">
        <f t="shared" si="31"/>
        <v>-6.9000000000000696</v>
      </c>
      <c r="G60" s="1">
        <f t="shared" si="31"/>
        <v>-7.0200000000000005</v>
      </c>
      <c r="H60" s="1">
        <f t="shared" si="31"/>
        <v>-9.02</v>
      </c>
      <c r="I60" s="1">
        <f>I18-J31</f>
        <v>-11.340000000000146</v>
      </c>
      <c r="J60" s="1">
        <f t="shared" si="31"/>
        <v>-11.340000000000146</v>
      </c>
      <c r="K60" s="1">
        <f t="shared" si="31"/>
        <v>-12.680000000000145</v>
      </c>
      <c r="L60" s="1">
        <f t="shared" si="31"/>
        <v>-12.800000000000098</v>
      </c>
      <c r="M60" s="1">
        <f t="shared" si="31"/>
        <v>-13.57</v>
      </c>
      <c r="N60" s="1">
        <f t="shared" si="31"/>
        <v>-13.690000000000095</v>
      </c>
      <c r="O60" s="1">
        <f t="shared" si="31"/>
        <v>-15.690000000000095</v>
      </c>
      <c r="P60" s="11">
        <f t="shared" si="31"/>
        <v>-18.190000000000101</v>
      </c>
      <c r="R60" t="s">
        <v>48</v>
      </c>
      <c r="AD60" s="1"/>
      <c r="AE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R60" s="1"/>
      <c r="AT60" s="1"/>
      <c r="AU60" s="1"/>
      <c r="AV60" s="1"/>
      <c r="AW60" s="1"/>
      <c r="AX60" s="1"/>
      <c r="AY60" s="1"/>
      <c r="BA60" s="1"/>
      <c r="BB60" s="1"/>
      <c r="BC60" s="1"/>
      <c r="BD60" s="1"/>
      <c r="BE60" s="1"/>
      <c r="BG60" s="1"/>
      <c r="BH60" s="1"/>
      <c r="BI60" s="1"/>
      <c r="BK60" s="1"/>
      <c r="BL60" s="1"/>
      <c r="BM60" s="1"/>
      <c r="BO60" s="1"/>
      <c r="BP60" s="1"/>
      <c r="BR60" s="1"/>
    </row>
    <row r="61" spans="1:70" x14ac:dyDescent="0.3">
      <c r="R61" s="1"/>
      <c r="S61" s="6" t="s">
        <v>1</v>
      </c>
      <c r="T61" s="6" t="s">
        <v>2</v>
      </c>
      <c r="U61" s="6" t="s">
        <v>4</v>
      </c>
      <c r="V61" s="6" t="s">
        <v>6</v>
      </c>
      <c r="W61" s="6" t="s">
        <v>8</v>
      </c>
      <c r="X61" s="6" t="s">
        <v>9</v>
      </c>
      <c r="Y61" s="6" t="s">
        <v>11</v>
      </c>
      <c r="Z61" s="6" t="s">
        <v>13</v>
      </c>
      <c r="AA61" s="6" t="s">
        <v>15</v>
      </c>
      <c r="AD61" s="1"/>
      <c r="AE61" s="1"/>
      <c r="AF61" s="1"/>
      <c r="AG61" s="1"/>
      <c r="AH61" s="1"/>
      <c r="AI61" s="1"/>
      <c r="AJ61" s="1"/>
      <c r="AL61" s="1"/>
      <c r="AM61" s="1"/>
      <c r="AN61" s="1"/>
      <c r="AO61" s="1"/>
      <c r="AP61" s="1"/>
      <c r="AQ61" s="1"/>
      <c r="AR61" s="1"/>
      <c r="AT61" s="1"/>
      <c r="AU61" s="1"/>
      <c r="AV61" s="1"/>
      <c r="AW61" s="1"/>
      <c r="AX61" s="1"/>
      <c r="AY61" s="1"/>
      <c r="BA61" s="1"/>
      <c r="BB61" s="1"/>
      <c r="BC61" s="1"/>
      <c r="BD61" s="1"/>
      <c r="BE61" s="1"/>
      <c r="BG61" s="1"/>
      <c r="BH61" s="1"/>
      <c r="BI61" s="1"/>
      <c r="BK61" s="1"/>
      <c r="BL61" s="1"/>
      <c r="BM61" s="1"/>
      <c r="BO61" s="1"/>
      <c r="BP61" s="1"/>
      <c r="BR61" s="1"/>
    </row>
    <row r="62" spans="1:70" x14ac:dyDescent="0.3">
      <c r="R62" s="6" t="s">
        <v>1</v>
      </c>
      <c r="S62" s="1"/>
      <c r="T62" s="1"/>
      <c r="U62" s="1">
        <f>T16-$R$3-$AA$17*(1-AD6)</f>
        <v>-998.54</v>
      </c>
      <c r="V62" s="1">
        <f>U16-$R$3-$AA$17*(1-AE6)</f>
        <v>-997.53</v>
      </c>
      <c r="W62" s="1">
        <f t="shared" ref="W62:AA62" si="32">V16-$R$3-$AA$17*(1-AF6)</f>
        <v>-995.33</v>
      </c>
      <c r="X62" s="1">
        <f t="shared" si="32"/>
        <v>-993.20999999999992</v>
      </c>
      <c r="Y62" s="1">
        <f t="shared" si="32"/>
        <v>-991.74999999999989</v>
      </c>
      <c r="Z62" s="1">
        <f t="shared" si="32"/>
        <v>-990.76999999999987</v>
      </c>
      <c r="AA62" s="1">
        <f t="shared" si="32"/>
        <v>-986.28999999999985</v>
      </c>
      <c r="AD62" s="6"/>
      <c r="AE62" s="6"/>
      <c r="AF62" s="6"/>
      <c r="AG62" s="6"/>
      <c r="AH62" s="6"/>
      <c r="AI62" s="6"/>
      <c r="AJ62" s="6"/>
      <c r="AK62" s="3"/>
      <c r="AL62" s="6"/>
      <c r="AM62" s="6"/>
      <c r="AN62" s="6"/>
      <c r="AO62" s="6"/>
      <c r="AP62" s="6"/>
      <c r="AQ62" s="6"/>
      <c r="AR62" s="6"/>
      <c r="AS62" s="3"/>
      <c r="AT62" s="6"/>
      <c r="AU62" s="6"/>
      <c r="AV62" s="6"/>
      <c r="AW62" s="6"/>
      <c r="AX62" s="6"/>
      <c r="AY62" s="6"/>
      <c r="AZ62" s="3"/>
      <c r="BA62" s="6"/>
      <c r="BB62" s="6"/>
      <c r="BC62" s="6"/>
      <c r="BD62" s="6"/>
      <c r="BE62" s="6"/>
      <c r="BF62" s="3"/>
      <c r="BG62" s="6"/>
      <c r="BH62" s="6"/>
      <c r="BI62" s="6"/>
      <c r="BJ62" s="3"/>
      <c r="BK62" s="6"/>
      <c r="BL62" s="6"/>
      <c r="BM62" s="6"/>
      <c r="BN62" s="3"/>
      <c r="BO62" s="6"/>
      <c r="BP62" s="6"/>
      <c r="BQ62" s="3"/>
      <c r="BR62" s="6"/>
    </row>
    <row r="63" spans="1:70" x14ac:dyDescent="0.3">
      <c r="R63" s="6" t="s">
        <v>2</v>
      </c>
      <c r="S63" s="1"/>
      <c r="T63" s="1"/>
      <c r="U63" s="1">
        <f>T16-$S$3-$AA$17*(1-AL6)</f>
        <v>0</v>
      </c>
      <c r="V63" s="1">
        <f t="shared" ref="V63:AA63" si="33">U16-$S$3-$AA$17*(1-AM6)</f>
        <v>-998.99</v>
      </c>
      <c r="W63" s="1">
        <f t="shared" si="33"/>
        <v>-996.79</v>
      </c>
      <c r="X63" s="1">
        <f t="shared" si="33"/>
        <v>-994.67</v>
      </c>
      <c r="Y63" s="1">
        <f t="shared" si="33"/>
        <v>-993.20999999999992</v>
      </c>
      <c r="Z63" s="1">
        <f t="shared" si="33"/>
        <v>-992.2299999999999</v>
      </c>
      <c r="AA63" s="1">
        <f t="shared" si="33"/>
        <v>-987.74999999999989</v>
      </c>
      <c r="AD63" s="1"/>
      <c r="AE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R63" s="1"/>
      <c r="AT63" s="1"/>
      <c r="AU63" s="1"/>
      <c r="AV63" s="1"/>
      <c r="AW63" s="1"/>
      <c r="AX63" s="1"/>
      <c r="AY63" s="1"/>
      <c r="BA63" s="1"/>
      <c r="BB63" s="1"/>
      <c r="BC63" s="1"/>
      <c r="BD63" s="1"/>
      <c r="BE63" s="1"/>
      <c r="BG63" s="1"/>
      <c r="BH63" s="1"/>
      <c r="BI63" s="1"/>
      <c r="BK63" s="1"/>
      <c r="BL63" s="1"/>
      <c r="BM63" s="1"/>
      <c r="BO63" s="1"/>
      <c r="BP63" s="1"/>
      <c r="BR63" s="1"/>
    </row>
    <row r="64" spans="1:70" x14ac:dyDescent="0.3">
      <c r="A64" t="s">
        <v>94</v>
      </c>
      <c r="R64" s="6" t="s">
        <v>4</v>
      </c>
      <c r="S64" s="1"/>
      <c r="T64" s="1"/>
      <c r="U64" s="1"/>
      <c r="V64" s="1">
        <f>U16-$T$3-$AA$17*(1-AT6)</f>
        <v>-1.3100000000000502</v>
      </c>
      <c r="W64" s="1">
        <f t="shared" ref="W64:AA64" si="34">V16-$T$3-$AA$17*(1-AU6)</f>
        <v>-999.11</v>
      </c>
      <c r="X64" s="1">
        <f t="shared" si="34"/>
        <v>-996.99</v>
      </c>
      <c r="Y64" s="1">
        <f t="shared" si="34"/>
        <v>-995.53</v>
      </c>
      <c r="Z64" s="1">
        <f t="shared" si="34"/>
        <v>-994.55</v>
      </c>
      <c r="AA64" s="1">
        <f t="shared" si="34"/>
        <v>-990.06999999999994</v>
      </c>
      <c r="AD64" s="1"/>
      <c r="AE64" s="1"/>
      <c r="AF64" s="1"/>
      <c r="AG64" s="1"/>
      <c r="AH64" s="1"/>
      <c r="AI64" s="1"/>
      <c r="AJ64" s="1"/>
      <c r="AL64" s="1"/>
      <c r="AM64" s="1"/>
      <c r="AN64" s="1"/>
      <c r="AO64" s="1"/>
      <c r="AP64" s="1"/>
      <c r="AQ64" s="1"/>
      <c r="AR64" s="1"/>
      <c r="AT64" s="1"/>
      <c r="AU64" s="1"/>
      <c r="AV64" s="1"/>
      <c r="AW64" s="1"/>
      <c r="AX64" s="1"/>
      <c r="AY64" s="1"/>
      <c r="BA64" s="1"/>
      <c r="BB64" s="1"/>
      <c r="BC64" s="1"/>
      <c r="BD64" s="1"/>
      <c r="BE64" s="1"/>
      <c r="BG64" s="1"/>
      <c r="BH64" s="1"/>
      <c r="BI64" s="1"/>
      <c r="BK64" s="1"/>
      <c r="BL64" s="1"/>
      <c r="BM64" s="1"/>
      <c r="BO64" s="1"/>
      <c r="BP64" s="1"/>
      <c r="BR64" s="1"/>
    </row>
    <row r="65" spans="1:70" x14ac:dyDescent="0.3">
      <c r="B65" s="3" t="s">
        <v>1</v>
      </c>
      <c r="C65" s="3" t="s">
        <v>2</v>
      </c>
      <c r="D65" t="s">
        <v>3</v>
      </c>
      <c r="E65" s="3" t="s">
        <v>4</v>
      </c>
      <c r="F65" t="s">
        <v>5</v>
      </c>
      <c r="G65" s="3" t="s">
        <v>6</v>
      </c>
      <c r="H65" t="s">
        <v>7</v>
      </c>
      <c r="I65" s="3" t="s">
        <v>8</v>
      </c>
      <c r="J65" s="3" t="s">
        <v>9</v>
      </c>
      <c r="K65" t="s">
        <v>10</v>
      </c>
      <c r="L65" s="3" t="s">
        <v>11</v>
      </c>
      <c r="M65" t="s">
        <v>12</v>
      </c>
      <c r="N65" s="3" t="s">
        <v>13</v>
      </c>
      <c r="O65" t="s">
        <v>14</v>
      </c>
      <c r="P65" s="3" t="s">
        <v>15</v>
      </c>
      <c r="R65" s="6" t="s">
        <v>6</v>
      </c>
      <c r="S65" s="1"/>
      <c r="T65" s="1"/>
      <c r="U65" s="1"/>
      <c r="V65" s="1"/>
      <c r="W65" s="1">
        <f>V16-$U$3-$AA$17*(1-BA6)</f>
        <v>0</v>
      </c>
      <c r="X65" s="1">
        <f t="shared" ref="X65:AA65" si="35">W16-$U$3-$AA$17*(1-BB6)</f>
        <v>-997.87999999999988</v>
      </c>
      <c r="Y65" s="1">
        <f t="shared" si="35"/>
        <v>-996.41999999999985</v>
      </c>
      <c r="Z65" s="1">
        <f t="shared" si="35"/>
        <v>-995.43999999999994</v>
      </c>
      <c r="AA65" s="1">
        <f t="shared" si="35"/>
        <v>-990.95999999999992</v>
      </c>
      <c r="AD65" s="1"/>
      <c r="AE65" s="1"/>
      <c r="AF65" s="1"/>
      <c r="AG65" s="1"/>
      <c r="AH65" s="1"/>
      <c r="AI65" s="1"/>
      <c r="AJ65" s="1"/>
      <c r="AL65" s="1"/>
      <c r="AM65" s="1"/>
      <c r="AN65" s="1"/>
      <c r="AO65" s="1"/>
      <c r="AP65" s="1"/>
      <c r="AQ65" s="1"/>
      <c r="AR65" s="1"/>
      <c r="AT65" s="1"/>
      <c r="AU65" s="1"/>
      <c r="AV65" s="1"/>
      <c r="AW65" s="1"/>
      <c r="AX65" s="1"/>
      <c r="AY65" s="1"/>
      <c r="BA65" s="1"/>
      <c r="BB65" s="1"/>
      <c r="BC65" s="1"/>
      <c r="BD65" s="1"/>
      <c r="BE65" s="1"/>
      <c r="BG65" s="1"/>
      <c r="BH65" s="1"/>
      <c r="BI65" s="1"/>
      <c r="BK65" s="1"/>
      <c r="BL65" s="1"/>
      <c r="BM65" s="1"/>
      <c r="BO65" s="1"/>
      <c r="BP65" s="1"/>
      <c r="BR65" s="1"/>
    </row>
    <row r="66" spans="1:70" x14ac:dyDescent="0.3">
      <c r="A66" s="1" t="s">
        <v>16</v>
      </c>
      <c r="B66" s="1"/>
      <c r="C66" s="1">
        <f>C38-B52</f>
        <v>0</v>
      </c>
      <c r="D66" s="1" t="e">
        <f t="shared" ref="D66:D67" si="36">D38-C52</f>
        <v>#VALUE!</v>
      </c>
      <c r="E66" s="1">
        <f t="shared" ref="E66:E67" si="37">E38-D52</f>
        <v>0</v>
      </c>
      <c r="F66" s="1">
        <f t="shared" ref="F66:F67" si="38">F38-E52</f>
        <v>0</v>
      </c>
      <c r="G66" s="1">
        <f t="shared" ref="G66:G67" si="39">G38-F52</f>
        <v>0</v>
      </c>
      <c r="H66" s="1">
        <f t="shared" ref="H66:H67" si="40">H38-G52</f>
        <v>0</v>
      </c>
      <c r="I66" s="1">
        <f t="shared" ref="I66:I67" si="41">I38-H52</f>
        <v>0</v>
      </c>
      <c r="J66" s="1">
        <f t="shared" ref="J66:J67" si="42">J38-I52</f>
        <v>0</v>
      </c>
      <c r="K66" s="1">
        <f t="shared" ref="K66:K67" si="43">K38-J52</f>
        <v>0</v>
      </c>
      <c r="L66" s="1">
        <f t="shared" ref="L66:L67" si="44">L38-K52</f>
        <v>0</v>
      </c>
      <c r="M66" s="1">
        <f t="shared" ref="M66:M67" si="45">M38-L52</f>
        <v>0</v>
      </c>
      <c r="N66" s="1">
        <f t="shared" ref="N66:N67" si="46">N38-M52</f>
        <v>0</v>
      </c>
      <c r="O66" s="1">
        <f t="shared" ref="O66:O67" si="47">O38-N52</f>
        <v>0</v>
      </c>
      <c r="P66" s="11">
        <f t="shared" ref="P66:P67" si="48">P38-O52</f>
        <v>0</v>
      </c>
      <c r="R66" s="6" t="s">
        <v>8</v>
      </c>
      <c r="S66" s="1"/>
      <c r="T66" s="1"/>
      <c r="U66" s="1"/>
      <c r="V66" s="1"/>
      <c r="W66" s="1"/>
      <c r="X66" s="1"/>
      <c r="Y66" s="1">
        <f>X16-$V$3-$AA$17*(1-BG6)</f>
        <v>-998.54</v>
      </c>
      <c r="Z66" s="1">
        <f t="shared" ref="Z66" si="49">Y16-$V$3-$AA$17*(1-BH6)</f>
        <v>-997.56</v>
      </c>
      <c r="AA66" s="1">
        <f>Z16-$V$3-$AA$17*(1-BI6)</f>
        <v>-993.07999999999993</v>
      </c>
      <c r="AD66" s="1"/>
      <c r="AE66" s="1"/>
      <c r="AF66" s="1"/>
      <c r="AG66" s="1"/>
      <c r="AH66" s="1"/>
      <c r="AI66" s="1"/>
      <c r="AJ66" s="1"/>
      <c r="AL66" s="1"/>
      <c r="AM66" s="1"/>
      <c r="AN66" s="1"/>
      <c r="AO66" s="1"/>
      <c r="AP66" s="1"/>
      <c r="AQ66" s="1"/>
      <c r="AR66" s="1"/>
      <c r="AT66" s="1"/>
      <c r="AU66" s="1"/>
      <c r="AV66" s="1"/>
      <c r="AW66" s="1"/>
      <c r="AX66" s="1"/>
      <c r="AY66" s="1"/>
      <c r="BA66" s="1"/>
      <c r="BB66" s="1"/>
      <c r="BC66" s="1"/>
      <c r="BD66" s="1"/>
      <c r="BE66" s="1"/>
      <c r="BG66" s="1"/>
      <c r="BH66" s="1"/>
      <c r="BI66" s="1"/>
      <c r="BK66" s="1"/>
      <c r="BL66" s="1"/>
      <c r="BM66" s="1"/>
      <c r="BO66" s="1"/>
      <c r="BP66" s="1"/>
      <c r="BR66" s="1"/>
    </row>
    <row r="67" spans="1:70" x14ac:dyDescent="0.3">
      <c r="A67" s="8" t="s">
        <v>18</v>
      </c>
      <c r="B67" s="8"/>
      <c r="C67" s="8">
        <f>C39-B53</f>
        <v>0</v>
      </c>
      <c r="D67" s="8" t="e">
        <f t="shared" si="36"/>
        <v>#VALUE!</v>
      </c>
      <c r="E67" s="8">
        <f t="shared" si="37"/>
        <v>0</v>
      </c>
      <c r="F67" s="8">
        <f t="shared" si="38"/>
        <v>0</v>
      </c>
      <c r="G67" s="8">
        <f t="shared" si="39"/>
        <v>0</v>
      </c>
      <c r="H67" s="8">
        <f t="shared" si="40"/>
        <v>0</v>
      </c>
      <c r="I67" s="8">
        <f t="shared" si="41"/>
        <v>0</v>
      </c>
      <c r="J67" s="8">
        <f t="shared" si="42"/>
        <v>0</v>
      </c>
      <c r="K67" s="8">
        <f t="shared" si="43"/>
        <v>0</v>
      </c>
      <c r="L67" s="8">
        <f t="shared" si="44"/>
        <v>0</v>
      </c>
      <c r="M67" s="8">
        <f t="shared" si="45"/>
        <v>0</v>
      </c>
      <c r="N67" s="8">
        <f t="shared" si="46"/>
        <v>0</v>
      </c>
      <c r="O67" s="8">
        <f t="shared" si="47"/>
        <v>0</v>
      </c>
      <c r="P67" s="19">
        <f t="shared" si="48"/>
        <v>0</v>
      </c>
      <c r="R67" s="6" t="s">
        <v>9</v>
      </c>
      <c r="S67" s="1"/>
      <c r="T67" s="1"/>
      <c r="U67" s="1"/>
      <c r="V67" s="1"/>
      <c r="W67" s="1"/>
      <c r="X67" s="1"/>
      <c r="Y67" s="1">
        <f>X16-$W$3-$AA$17*(1-BK6)</f>
        <v>0</v>
      </c>
      <c r="Z67" s="1">
        <f t="shared" ref="Z67:AA67" si="50">Y16-$W$3-$AA$17*(1-BL6)</f>
        <v>-999.02</v>
      </c>
      <c r="AA67" s="1">
        <f t="shared" si="50"/>
        <v>-994.54</v>
      </c>
      <c r="AD67" s="1"/>
      <c r="AE67" s="1"/>
      <c r="AF67" s="1"/>
      <c r="AG67" s="1"/>
      <c r="AH67" s="1"/>
      <c r="AI67" s="1"/>
      <c r="AJ67" s="1"/>
      <c r="AL67" s="1"/>
      <c r="AM67" s="1"/>
      <c r="AN67" s="1"/>
      <c r="AO67" s="1"/>
      <c r="AP67" s="1"/>
      <c r="AQ67" s="1"/>
      <c r="AR67" s="1"/>
      <c r="AT67" s="1"/>
      <c r="AU67" s="1"/>
      <c r="AV67" s="1"/>
      <c r="AW67" s="1"/>
      <c r="AX67" s="1"/>
      <c r="AY67" s="1"/>
      <c r="BA67" s="1"/>
      <c r="BB67" s="1"/>
      <c r="BC67" s="1"/>
      <c r="BD67" s="1"/>
      <c r="BE67" s="1"/>
      <c r="BG67" s="1"/>
      <c r="BH67" s="1"/>
      <c r="BI67" s="1"/>
      <c r="BK67" s="1"/>
      <c r="BL67" s="1"/>
      <c r="BM67" s="1"/>
      <c r="BO67" s="1"/>
      <c r="BP67" s="1"/>
      <c r="BR67" s="1"/>
    </row>
    <row r="68" spans="1:70" x14ac:dyDescent="0.3">
      <c r="R68" s="6" t="s">
        <v>11</v>
      </c>
      <c r="S68" s="1"/>
      <c r="T68" s="1"/>
      <c r="U68" s="1"/>
      <c r="V68" s="1"/>
      <c r="W68" s="1"/>
      <c r="X68" s="1"/>
      <c r="Y68" s="1"/>
      <c r="Z68" s="1">
        <f>Y16-$X$3-$AA$17*(1-BO6)</f>
        <v>-1.2200000000000006</v>
      </c>
      <c r="AA68" s="1">
        <f>Z16-$X$3-$AA$17*(1-BP6)</f>
        <v>-996.74</v>
      </c>
      <c r="AD68" s="1"/>
      <c r="AE68" s="1"/>
      <c r="AF68" s="1"/>
      <c r="AG68" s="1"/>
      <c r="AH68" s="1"/>
      <c r="AI68" s="1"/>
      <c r="AJ68" s="1"/>
      <c r="AL68" s="1"/>
      <c r="AM68" s="1"/>
      <c r="AN68" s="1"/>
      <c r="AO68" s="1"/>
      <c r="AP68" s="1"/>
      <c r="AQ68" s="1"/>
      <c r="AR68" s="1"/>
      <c r="AT68" s="1"/>
      <c r="AU68" s="1"/>
      <c r="AV68" s="1"/>
      <c r="AW68" s="1"/>
      <c r="AX68" s="1"/>
      <c r="AY68" s="1"/>
      <c r="BA68" s="1"/>
      <c r="BB68" s="1"/>
      <c r="BC68" s="1"/>
      <c r="BD68" s="1"/>
      <c r="BE68" s="1"/>
      <c r="BG68" s="1"/>
      <c r="BH68" s="1"/>
      <c r="BI68" s="1"/>
      <c r="BK68" s="1"/>
      <c r="BL68" s="1"/>
      <c r="BM68" s="1"/>
      <c r="BO68" s="1"/>
      <c r="BP68" s="1"/>
      <c r="BR68" s="1"/>
    </row>
    <row r="69" spans="1:70" x14ac:dyDescent="0.3">
      <c r="R69" s="6" t="s">
        <v>13</v>
      </c>
      <c r="S69" s="1"/>
      <c r="T69" s="1"/>
      <c r="U69" s="1"/>
      <c r="V69" s="1"/>
      <c r="W69" s="1"/>
      <c r="X69" s="1"/>
      <c r="Y69" s="1"/>
      <c r="Z69" s="1"/>
      <c r="AA69" s="1">
        <f>Z16-$Y$3-$AA$17*(1-BR6)</f>
        <v>-997.63</v>
      </c>
      <c r="AD69" s="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R69" s="1"/>
      <c r="AT69" s="1"/>
      <c r="AU69" s="1"/>
      <c r="AV69" s="1"/>
      <c r="AW69" s="1"/>
      <c r="AX69" s="1"/>
      <c r="AY69" s="1"/>
      <c r="BA69" s="1"/>
      <c r="BB69" s="1"/>
      <c r="BC69" s="1"/>
      <c r="BD69" s="1"/>
      <c r="BE69" s="1"/>
      <c r="BG69" s="1"/>
      <c r="BH69" s="1"/>
      <c r="BI69" s="1"/>
      <c r="BK69" s="1"/>
      <c r="BL69" s="1"/>
      <c r="BM69" s="1"/>
      <c r="BO69" s="1"/>
      <c r="BP69" s="1"/>
      <c r="BR69" s="1"/>
    </row>
    <row r="70" spans="1:70" x14ac:dyDescent="0.3">
      <c r="R70" s="6" t="s">
        <v>15</v>
      </c>
      <c r="S70" s="1"/>
      <c r="T70" s="1"/>
      <c r="U70" s="1"/>
      <c r="V70" s="1"/>
      <c r="W70" s="1"/>
      <c r="X70" s="1"/>
      <c r="Y70" s="1"/>
      <c r="Z70" s="1"/>
      <c r="AA70" s="1"/>
      <c r="AD70" s="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R70" s="1"/>
      <c r="AT70" s="1"/>
      <c r="AU70" s="1"/>
      <c r="AV70" s="1"/>
      <c r="AW70" s="1"/>
      <c r="AX70" s="1"/>
      <c r="AY70" s="1"/>
      <c r="BA70" s="1"/>
      <c r="BB70" s="1"/>
      <c r="BC70" s="1"/>
      <c r="BD70" s="1"/>
      <c r="BE70" s="1"/>
      <c r="BG70" s="1"/>
      <c r="BH70" s="1"/>
      <c r="BI70" s="1"/>
      <c r="BK70" s="1"/>
      <c r="BL70" s="1"/>
      <c r="BM70" s="1"/>
      <c r="BO70" s="1"/>
      <c r="BP70" s="1"/>
      <c r="BR70" s="1"/>
    </row>
    <row r="71" spans="1:70" x14ac:dyDescent="0.3">
      <c r="AD71" s="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R71" s="1"/>
      <c r="AT71" s="1"/>
      <c r="AU71" s="1"/>
      <c r="AV71" s="1"/>
      <c r="AW71" s="1"/>
      <c r="AX71" s="1"/>
      <c r="AY71" s="1"/>
      <c r="BA71" s="1"/>
      <c r="BB71" s="1"/>
      <c r="BC71" s="1"/>
      <c r="BD71" s="1"/>
      <c r="BE71" s="1"/>
      <c r="BG71" s="1"/>
      <c r="BH71" s="1"/>
      <c r="BI71" s="1"/>
      <c r="BK71" s="1"/>
      <c r="BL71" s="1"/>
      <c r="BM71" s="1"/>
      <c r="BO71" s="1"/>
      <c r="BP71" s="1"/>
      <c r="BR71" s="1"/>
    </row>
    <row r="72" spans="1:70" x14ac:dyDescent="0.3">
      <c r="A72" t="s">
        <v>94</v>
      </c>
      <c r="B72" s="1">
        <f>D16-B17</f>
        <v>0</v>
      </c>
      <c r="C72" s="1">
        <f>D16-C17</f>
        <v>-1.46</v>
      </c>
      <c r="D72" s="1">
        <f>F16-E17</f>
        <v>-2.32000000000007</v>
      </c>
      <c r="E72" s="1">
        <f>H16-G17</f>
        <v>-2.2000000000000002</v>
      </c>
      <c r="F72" s="1">
        <f>K16-I17</f>
        <v>0</v>
      </c>
      <c r="G72" s="1">
        <f>K16-J17</f>
        <v>-1.4600000000000293</v>
      </c>
      <c r="H72" s="1">
        <f>M16-L17</f>
        <v>-2.1999999999999993</v>
      </c>
      <c r="I72" s="1">
        <f>O16-N17</f>
        <v>-2.1099999999999977</v>
      </c>
      <c r="AD72" s="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R72" s="1"/>
      <c r="AT72" s="1"/>
      <c r="AU72" s="1"/>
      <c r="AV72" s="1"/>
      <c r="AW72" s="1"/>
      <c r="AX72" s="1"/>
      <c r="AY72" s="1"/>
      <c r="BA72" s="1"/>
      <c r="BB72" s="1"/>
      <c r="BC72" s="1"/>
      <c r="BD72" s="1"/>
      <c r="BE72" s="1"/>
      <c r="BG72" s="1"/>
      <c r="BH72" s="1"/>
      <c r="BI72" s="1"/>
      <c r="BK72" s="1"/>
      <c r="BL72" s="1"/>
      <c r="BM72" s="1"/>
      <c r="BO72" s="1"/>
      <c r="BP72" s="1"/>
      <c r="BR72" s="1"/>
    </row>
    <row r="73" spans="1:70" x14ac:dyDescent="0.3">
      <c r="B73" s="1">
        <f>D17-G16</f>
        <v>0</v>
      </c>
      <c r="C73" s="1">
        <f>H17-I16</f>
        <v>0.32000000000000028</v>
      </c>
      <c r="D73" s="1">
        <f>K31-N30</f>
        <v>1.2200000000000468</v>
      </c>
      <c r="E73" s="1">
        <f>O17-P16</f>
        <v>0</v>
      </c>
      <c r="F73" s="1"/>
      <c r="G73" s="1"/>
      <c r="H73" s="1"/>
      <c r="I73" s="1"/>
      <c r="R73" t="s">
        <v>35</v>
      </c>
      <c r="AD73" s="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R73" s="1"/>
      <c r="AT73" s="1"/>
      <c r="AU73" s="1"/>
      <c r="AV73" s="1"/>
      <c r="AW73" s="1"/>
      <c r="AX73" s="1"/>
      <c r="AY73" s="1"/>
      <c r="BA73" s="1"/>
      <c r="BB73" s="1"/>
      <c r="BC73" s="1"/>
      <c r="BD73" s="1"/>
      <c r="BE73" s="1"/>
      <c r="BG73" s="1"/>
      <c r="BH73" s="1"/>
      <c r="BI73" s="1"/>
      <c r="BK73" s="1"/>
      <c r="BL73" s="1"/>
      <c r="BM73" s="1"/>
      <c r="BO73" s="1"/>
      <c r="BP73" s="1"/>
      <c r="BR73" s="1"/>
    </row>
    <row r="74" spans="1:70" x14ac:dyDescent="0.3">
      <c r="R74" s="1"/>
      <c r="S74" s="6" t="s">
        <v>1</v>
      </c>
      <c r="T74" s="6" t="s">
        <v>2</v>
      </c>
      <c r="U74" s="6" t="s">
        <v>4</v>
      </c>
      <c r="V74" s="6" t="s">
        <v>6</v>
      </c>
      <c r="W74" s="6" t="s">
        <v>8</v>
      </c>
      <c r="X74" s="6" t="s">
        <v>9</v>
      </c>
      <c r="Y74" s="6" t="s">
        <v>11</v>
      </c>
      <c r="Z74" s="6" t="s">
        <v>13</v>
      </c>
      <c r="AA74" s="6" t="s">
        <v>15</v>
      </c>
      <c r="AD74" s="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R74" s="1"/>
      <c r="AT74" s="1"/>
      <c r="AU74" s="1"/>
      <c r="AV74" s="1"/>
      <c r="AW74" s="1"/>
      <c r="AX74" s="1"/>
      <c r="AY74" s="1"/>
      <c r="BA74" s="1"/>
      <c r="BB74" s="1"/>
      <c r="BC74" s="1"/>
      <c r="BD74" s="1"/>
      <c r="BE74" s="1"/>
      <c r="BG74" s="1"/>
      <c r="BH74" s="1"/>
      <c r="BI74" s="1"/>
      <c r="BK74" s="1"/>
      <c r="BL74" s="1"/>
      <c r="BM74" s="1"/>
      <c r="BO74" s="1"/>
      <c r="BP74" s="1"/>
      <c r="BR74" s="1"/>
    </row>
    <row r="75" spans="1:70" x14ac:dyDescent="0.3">
      <c r="A75" t="s">
        <v>95</v>
      </c>
      <c r="R75" s="6" t="s">
        <v>1</v>
      </c>
      <c r="S75" s="1"/>
      <c r="T75" s="1"/>
      <c r="U75" s="1">
        <f>T16-$R$4-$AA$17*(1-AD7)</f>
        <v>-996.31</v>
      </c>
      <c r="V75" s="1">
        <f t="shared" ref="V75:AA75" si="51">U16-$R$4-$AA$17*(1-AE7)</f>
        <v>-995.3</v>
      </c>
      <c r="W75" s="1">
        <f t="shared" si="51"/>
        <v>-993.1</v>
      </c>
      <c r="X75" s="1">
        <f t="shared" si="51"/>
        <v>-990.9799999999999</v>
      </c>
      <c r="Y75" s="1">
        <f t="shared" si="51"/>
        <v>-989.51999999999987</v>
      </c>
      <c r="Z75" s="1">
        <f t="shared" si="51"/>
        <v>-988.53999999999985</v>
      </c>
      <c r="AA75" s="1">
        <f t="shared" si="51"/>
        <v>-984.06</v>
      </c>
      <c r="AD75" s="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R75" s="1"/>
      <c r="AT75" s="1"/>
      <c r="AU75" s="1"/>
      <c r="AV75" s="1"/>
      <c r="AW75" s="1"/>
      <c r="AX75" s="1"/>
      <c r="AY75" s="1"/>
      <c r="BA75" s="1"/>
      <c r="BB75" s="1"/>
      <c r="BC75" s="1"/>
      <c r="BD75" s="1"/>
      <c r="BE75" s="1"/>
      <c r="BG75" s="1"/>
      <c r="BH75" s="1"/>
      <c r="BI75" s="1"/>
      <c r="BK75" s="1"/>
      <c r="BL75" s="1"/>
      <c r="BM75" s="1"/>
      <c r="BO75" s="1"/>
      <c r="BP75" s="1"/>
      <c r="BR75" s="1"/>
    </row>
    <row r="76" spans="1:70" x14ac:dyDescent="0.3">
      <c r="B76" s="3" t="s">
        <v>1</v>
      </c>
      <c r="C76" s="3" t="s">
        <v>2</v>
      </c>
      <c r="D76" t="s">
        <v>3</v>
      </c>
      <c r="E76" s="3" t="s">
        <v>4</v>
      </c>
      <c r="F76" t="s">
        <v>5</v>
      </c>
      <c r="G76" s="3" t="s">
        <v>6</v>
      </c>
      <c r="H76" t="s">
        <v>7</v>
      </c>
      <c r="I76" s="3" t="s">
        <v>8</v>
      </c>
      <c r="J76" s="3" t="s">
        <v>9</v>
      </c>
      <c r="K76" t="s">
        <v>10</v>
      </c>
      <c r="L76" s="3" t="s">
        <v>11</v>
      </c>
      <c r="M76" t="s">
        <v>12</v>
      </c>
      <c r="N76" s="3" t="s">
        <v>13</v>
      </c>
      <c r="O76" t="s">
        <v>14</v>
      </c>
      <c r="P76" s="3" t="s">
        <v>15</v>
      </c>
      <c r="R76" s="6" t="s">
        <v>2</v>
      </c>
      <c r="S76" s="1"/>
      <c r="T76" s="1"/>
      <c r="U76" s="1">
        <f>T16-$S$4-$AA$17*(1-AL7)</f>
        <v>-996.31</v>
      </c>
      <c r="V76" s="1">
        <f t="shared" ref="V76:AA76" si="52">U16-$S$4-$AA$17*(1-AM7)</f>
        <v>-995.3</v>
      </c>
      <c r="W76" s="1">
        <f t="shared" si="52"/>
        <v>-993.1</v>
      </c>
      <c r="X76" s="1">
        <f t="shared" si="52"/>
        <v>-990.9799999999999</v>
      </c>
      <c r="Y76" s="1">
        <f t="shared" si="52"/>
        <v>-989.51999999999987</v>
      </c>
      <c r="Z76" s="1">
        <f t="shared" si="52"/>
        <v>-988.53999999999985</v>
      </c>
      <c r="AA76" s="1">
        <f t="shared" si="52"/>
        <v>-984.06</v>
      </c>
      <c r="AD76" s="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R76" s="1"/>
      <c r="AT76" s="1"/>
      <c r="AU76" s="1"/>
      <c r="AV76" s="1"/>
      <c r="AW76" s="1"/>
      <c r="AX76" s="1"/>
      <c r="AY76" s="1"/>
      <c r="BA76" s="1"/>
      <c r="BB76" s="1"/>
      <c r="BC76" s="1"/>
      <c r="BD76" s="1"/>
      <c r="BE76" s="1"/>
      <c r="BG76" s="1"/>
      <c r="BH76" s="1"/>
      <c r="BI76" s="1"/>
      <c r="BK76" s="1"/>
      <c r="BL76" s="1"/>
      <c r="BM76" s="1"/>
      <c r="BO76" s="1"/>
      <c r="BP76" s="1"/>
      <c r="BR76" s="1"/>
    </row>
    <row r="77" spans="1:70" x14ac:dyDescent="0.3">
      <c r="A77" s="1" t="s">
        <v>16</v>
      </c>
      <c r="B77" s="1"/>
      <c r="C77" s="1">
        <f>C49-B63</f>
        <v>0</v>
      </c>
      <c r="D77" s="1">
        <f t="shared" ref="D77:D78" si="53">D49-C63</f>
        <v>0</v>
      </c>
      <c r="E77" s="1">
        <f t="shared" ref="E77:E78" si="54">E49-D63</f>
        <v>0</v>
      </c>
      <c r="F77" s="1">
        <f t="shared" ref="F77:F78" si="55">F49-E63</f>
        <v>0</v>
      </c>
      <c r="G77" s="1">
        <f t="shared" ref="G77:G78" si="56">G49-F63</f>
        <v>0</v>
      </c>
      <c r="H77" s="1">
        <f t="shared" ref="H77:H78" si="57">H49-G63</f>
        <v>0</v>
      </c>
      <c r="I77" s="1">
        <f t="shared" ref="I77:I78" si="58">I49-H63</f>
        <v>0</v>
      </c>
      <c r="J77" s="1">
        <f t="shared" ref="J77:J78" si="59">J49-I63</f>
        <v>0</v>
      </c>
      <c r="K77" s="1">
        <f t="shared" ref="K77:K78" si="60">K49-J63</f>
        <v>0</v>
      </c>
      <c r="L77" s="1">
        <f t="shared" ref="L77:L78" si="61">L49-K63</f>
        <v>0</v>
      </c>
      <c r="M77" s="1">
        <f t="shared" ref="M77:M78" si="62">M49-L63</f>
        <v>0</v>
      </c>
      <c r="N77" s="1">
        <f t="shared" ref="N77:N78" si="63">N49-M63</f>
        <v>0</v>
      </c>
      <c r="O77" s="1">
        <f t="shared" ref="O77:O78" si="64">O49-N63</f>
        <v>0</v>
      </c>
      <c r="P77" s="11">
        <f t="shared" ref="P77:P78" si="65">P49-O63</f>
        <v>0</v>
      </c>
      <c r="R77" s="6" t="s">
        <v>4</v>
      </c>
      <c r="S77" s="1"/>
      <c r="T77" s="1"/>
      <c r="U77" s="1"/>
      <c r="V77" s="1">
        <f>U16-$T$4-$AA$17*(1-AT7)</f>
        <v>-995.3</v>
      </c>
      <c r="W77" s="1">
        <f t="shared" ref="W77:AA77" si="66">V16-$T$4-$AA$17*(1-AU7)</f>
        <v>-993.1</v>
      </c>
      <c r="X77" s="1">
        <f t="shared" si="66"/>
        <v>-990.9799999999999</v>
      </c>
      <c r="Y77" s="1">
        <f t="shared" si="66"/>
        <v>-989.51999999999987</v>
      </c>
      <c r="Z77" s="1">
        <f t="shared" si="66"/>
        <v>-988.53999999999985</v>
      </c>
      <c r="AA77" s="1">
        <f t="shared" si="66"/>
        <v>-984.06</v>
      </c>
      <c r="AD77" s="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R77" s="1"/>
      <c r="AT77" s="1"/>
      <c r="AU77" s="1"/>
      <c r="AV77" s="1"/>
      <c r="AW77" s="1"/>
      <c r="AX77" s="1"/>
      <c r="AY77" s="1"/>
      <c r="BA77" s="1"/>
      <c r="BB77" s="1"/>
      <c r="BC77" s="1"/>
      <c r="BD77" s="1"/>
      <c r="BE77" s="1"/>
      <c r="BG77" s="1"/>
      <c r="BH77" s="1"/>
      <c r="BI77" s="1"/>
      <c r="BK77" s="1"/>
      <c r="BL77" s="1"/>
      <c r="BM77" s="1"/>
      <c r="BO77" s="1"/>
      <c r="BP77" s="1"/>
      <c r="BR77" s="1"/>
    </row>
    <row r="78" spans="1:70" x14ac:dyDescent="0.3">
      <c r="A78" s="8" t="s">
        <v>18</v>
      </c>
      <c r="B78" s="8"/>
      <c r="C78" s="8">
        <f>C50-B64</f>
        <v>0</v>
      </c>
      <c r="D78" s="8">
        <f t="shared" si="53"/>
        <v>0</v>
      </c>
      <c r="E78" s="8">
        <f t="shared" si="54"/>
        <v>0</v>
      </c>
      <c r="F78" s="8">
        <f t="shared" si="55"/>
        <v>0</v>
      </c>
      <c r="G78" s="8">
        <f t="shared" si="56"/>
        <v>0</v>
      </c>
      <c r="H78" s="8">
        <f t="shared" si="57"/>
        <v>0</v>
      </c>
      <c r="I78" s="8">
        <f t="shared" si="58"/>
        <v>0</v>
      </c>
      <c r="J78" s="8">
        <f t="shared" si="59"/>
        <v>0</v>
      </c>
      <c r="K78" s="8">
        <f t="shared" si="60"/>
        <v>0</v>
      </c>
      <c r="L78" s="8">
        <f t="shared" si="61"/>
        <v>0</v>
      </c>
      <c r="M78" s="8">
        <f t="shared" si="62"/>
        <v>0</v>
      </c>
      <c r="N78" s="8">
        <f t="shared" si="63"/>
        <v>0</v>
      </c>
      <c r="O78" s="8">
        <f t="shared" si="64"/>
        <v>0</v>
      </c>
      <c r="P78" s="19">
        <f t="shared" si="65"/>
        <v>0</v>
      </c>
      <c r="R78" s="6" t="s">
        <v>6</v>
      </c>
      <c r="S78" s="1"/>
      <c r="T78" s="1"/>
      <c r="U78" s="1"/>
      <c r="V78" s="1"/>
      <c r="W78" s="1">
        <f>V16-$U$4-$AA$17*(1-BA7)</f>
        <v>-993.1</v>
      </c>
      <c r="X78" s="1">
        <f t="shared" ref="X78:AA78" si="67">W16-$U$4-$AA$17*(1-BB7)</f>
        <v>-990.9799999999999</v>
      </c>
      <c r="Y78" s="1">
        <f t="shared" si="67"/>
        <v>-989.51999999999987</v>
      </c>
      <c r="Z78" s="1">
        <f t="shared" si="67"/>
        <v>-988.53999999999985</v>
      </c>
      <c r="AA78" s="1">
        <f t="shared" si="67"/>
        <v>-984.06</v>
      </c>
      <c r="AD78" s="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R78" s="1"/>
      <c r="AT78" s="1"/>
      <c r="AU78" s="1"/>
      <c r="AV78" s="1"/>
      <c r="AW78" s="1"/>
      <c r="AX78" s="1"/>
      <c r="AY78" s="1"/>
      <c r="BA78" s="1"/>
      <c r="BB78" s="1"/>
      <c r="BC78" s="1"/>
      <c r="BD78" s="1"/>
      <c r="BE78" s="1"/>
      <c r="BG78" s="1"/>
      <c r="BH78" s="1"/>
      <c r="BI78" s="1"/>
      <c r="BK78" s="1"/>
      <c r="BL78" s="1"/>
      <c r="BM78" s="1"/>
      <c r="BO78" s="1"/>
      <c r="BP78" s="1"/>
      <c r="BR78" s="1"/>
    </row>
    <row r="79" spans="1:70" x14ac:dyDescent="0.3">
      <c r="R79" s="6" t="s">
        <v>8</v>
      </c>
      <c r="S79" s="1"/>
      <c r="T79" s="1"/>
      <c r="U79" s="1"/>
      <c r="V79" s="1"/>
      <c r="W79" s="1"/>
      <c r="X79" s="1"/>
      <c r="Y79" s="1">
        <f>X16-$V$4-$AA$17*(1-BG7)</f>
        <v>-989.51999999999987</v>
      </c>
      <c r="Z79" s="1">
        <f t="shared" ref="Z79:AA79" si="68">Y16-$V$4-$AA$17*(1-BH7)</f>
        <v>-988.53999999999985</v>
      </c>
      <c r="AA79" s="1">
        <f t="shared" si="68"/>
        <v>-984.06</v>
      </c>
      <c r="AD79" s="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R79" s="1"/>
      <c r="AT79" s="1"/>
      <c r="AU79" s="1"/>
      <c r="AV79" s="1"/>
      <c r="AW79" s="1"/>
      <c r="AX79" s="1"/>
      <c r="AY79" s="1"/>
      <c r="BA79" s="1"/>
      <c r="BB79" s="1"/>
      <c r="BC79" s="1"/>
      <c r="BD79" s="1"/>
      <c r="BE79" s="1"/>
      <c r="BG79" s="1"/>
      <c r="BH79" s="1"/>
      <c r="BI79" s="1"/>
      <c r="BK79" s="1"/>
      <c r="BL79" s="1"/>
      <c r="BM79" s="1"/>
      <c r="BO79" s="1"/>
      <c r="BP79" s="1"/>
      <c r="BR79" s="1"/>
    </row>
    <row r="80" spans="1:70" x14ac:dyDescent="0.3">
      <c r="R80" s="6" t="s">
        <v>9</v>
      </c>
      <c r="S80" s="1"/>
      <c r="T80" s="1"/>
      <c r="U80" s="1"/>
      <c r="V80" s="1"/>
      <c r="W80" s="1"/>
      <c r="X80" s="1"/>
      <c r="Y80" s="1">
        <f>X16-$W$4-$AA$17*(1-BK7)</f>
        <v>-989.51999999999987</v>
      </c>
      <c r="Z80" s="1">
        <f t="shared" ref="Z80:AA80" si="69">Y16-$W$4-$AA$17*(1-BL7)</f>
        <v>-988.53999999999985</v>
      </c>
      <c r="AA80" s="1">
        <f t="shared" si="69"/>
        <v>-984.06</v>
      </c>
      <c r="AD80" s="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R80" s="1"/>
      <c r="AT80" s="1"/>
      <c r="AU80" s="1"/>
      <c r="AV80" s="1"/>
      <c r="AW80" s="1"/>
      <c r="AX80" s="1"/>
      <c r="AY80" s="1"/>
      <c r="BA80" s="1"/>
      <c r="BB80" s="1"/>
      <c r="BC80" s="1"/>
      <c r="BD80" s="1"/>
      <c r="BE80" s="1"/>
      <c r="BG80" s="1"/>
      <c r="BH80" s="1"/>
      <c r="BI80" s="1"/>
      <c r="BK80" s="1"/>
      <c r="BL80" s="1"/>
      <c r="BM80" s="1"/>
      <c r="BO80" s="1"/>
      <c r="BP80" s="1"/>
      <c r="BR80" s="1"/>
    </row>
    <row r="81" spans="2:70" x14ac:dyDescent="0.3">
      <c r="R81" s="6" t="s">
        <v>11</v>
      </c>
      <c r="S81" s="1"/>
      <c r="T81" s="1"/>
      <c r="U81" s="1"/>
      <c r="V81" s="1"/>
      <c r="W81" s="1"/>
      <c r="X81" s="1"/>
      <c r="Y81" s="1"/>
      <c r="Z81" s="1">
        <f>Y16-$X$4-$AA$17*(1-BO7)</f>
        <v>-988.53999999999985</v>
      </c>
      <c r="AA81" s="1">
        <f>Z16-$X$4-$AA$17*(1-BP7)</f>
        <v>-984.06</v>
      </c>
      <c r="AD81" s="1"/>
      <c r="AE81" s="1"/>
      <c r="AF81" s="1"/>
      <c r="AG81" s="1"/>
      <c r="AH81" s="1"/>
      <c r="AI81" s="1"/>
      <c r="AJ81" s="1"/>
      <c r="AL81" s="1"/>
      <c r="AM81" s="1"/>
      <c r="AN81" s="1"/>
      <c r="AO81" s="1"/>
      <c r="AP81" s="1"/>
      <c r="AQ81" s="1"/>
      <c r="AR81" s="1"/>
      <c r="AT81" s="1"/>
      <c r="AU81" s="1"/>
      <c r="AV81" s="1"/>
      <c r="AW81" s="1"/>
      <c r="AX81" s="1"/>
      <c r="AY81" s="1"/>
      <c r="BA81" s="1"/>
      <c r="BB81" s="1"/>
      <c r="BC81" s="1"/>
      <c r="BD81" s="1"/>
      <c r="BE81" s="1"/>
      <c r="BG81" s="1"/>
      <c r="BH81" s="1"/>
      <c r="BI81" s="1"/>
      <c r="BK81" s="1"/>
      <c r="BL81" s="1"/>
      <c r="BM81" s="1"/>
      <c r="BO81" s="1"/>
      <c r="BP81" s="1"/>
      <c r="BR81" s="1"/>
    </row>
    <row r="82" spans="2:70" x14ac:dyDescent="0.3">
      <c r="R82" s="6" t="s">
        <v>13</v>
      </c>
      <c r="S82" s="1"/>
      <c r="T82" s="1"/>
      <c r="U82" s="1"/>
      <c r="V82" s="1"/>
      <c r="W82" s="1"/>
      <c r="X82" s="1"/>
      <c r="Y82" s="1"/>
      <c r="Z82" s="1"/>
      <c r="AA82" s="1">
        <f>Z16-$Y$4-$AA$17*(1-BR7)</f>
        <v>-984.06</v>
      </c>
      <c r="AD82" s="1"/>
      <c r="AE82" s="1"/>
      <c r="AF82" s="1"/>
      <c r="AG82" s="1"/>
      <c r="AH82" s="1"/>
      <c r="AI82" s="1"/>
      <c r="AJ82" s="1"/>
      <c r="AL82" s="1"/>
      <c r="AM82" s="1"/>
      <c r="AN82" s="1"/>
      <c r="AO82" s="1"/>
      <c r="AP82" s="1"/>
      <c r="AQ82" s="1"/>
      <c r="AR82" s="1"/>
      <c r="AT82" s="1"/>
      <c r="AU82" s="1"/>
      <c r="AV82" s="1"/>
      <c r="AW82" s="1"/>
      <c r="AX82" s="1"/>
      <c r="AY82" s="1"/>
      <c r="BA82" s="1"/>
      <c r="BB82" s="1"/>
      <c r="BC82" s="1"/>
      <c r="BD82" s="1"/>
      <c r="BE82" s="1"/>
      <c r="BG82" s="1"/>
      <c r="BH82" s="1"/>
      <c r="BI82" s="1"/>
      <c r="BK82" s="1"/>
      <c r="BL82" s="1"/>
      <c r="BM82" s="1"/>
      <c r="BO82" s="1"/>
      <c r="BP82" s="1"/>
      <c r="BR82" s="1"/>
    </row>
    <row r="83" spans="2:70" x14ac:dyDescent="0.3">
      <c r="R83" s="6" t="s">
        <v>15</v>
      </c>
      <c r="S83" s="1"/>
      <c r="T83" s="1"/>
      <c r="U83" s="1"/>
      <c r="V83" s="1"/>
      <c r="W83" s="1"/>
      <c r="X83" s="1"/>
      <c r="Y83" s="1"/>
      <c r="Z83" s="1"/>
      <c r="AA83" s="1"/>
      <c r="AD83" s="1"/>
      <c r="AE83" s="1"/>
      <c r="AF83" s="1"/>
      <c r="AG83" s="1"/>
      <c r="AH83" s="1"/>
      <c r="AI83" s="1"/>
      <c r="AJ83" s="1"/>
      <c r="AL83" s="1"/>
      <c r="AM83" s="1"/>
      <c r="AN83" s="1"/>
      <c r="AO83" s="1"/>
      <c r="AP83" s="1"/>
      <c r="AQ83" s="1"/>
      <c r="AR83" s="1"/>
      <c r="AT83" s="1"/>
      <c r="AU83" s="1"/>
      <c r="AV83" s="1"/>
      <c r="AW83" s="1"/>
      <c r="AX83" s="1"/>
      <c r="AY83" s="1"/>
      <c r="BA83" s="1"/>
      <c r="BB83" s="1"/>
      <c r="BC83" s="1"/>
      <c r="BD83" s="1"/>
      <c r="BE83" s="1"/>
      <c r="BG83" s="1"/>
      <c r="BH83" s="1"/>
      <c r="BI83" s="1"/>
      <c r="BK83" s="1"/>
      <c r="BL83" s="1"/>
      <c r="BM83" s="1"/>
      <c r="BO83" s="1"/>
      <c r="BP83" s="1"/>
      <c r="BR83" s="1"/>
    </row>
    <row r="84" spans="2:70" x14ac:dyDescent="0.3">
      <c r="AD84" s="1"/>
      <c r="AE84" s="1"/>
      <c r="AF84" s="1"/>
      <c r="AG84" s="1"/>
      <c r="AH84" s="1"/>
      <c r="AI84" s="1"/>
      <c r="AJ84" s="1"/>
      <c r="AL84" s="1"/>
      <c r="AM84" s="1"/>
      <c r="AN84" s="1"/>
      <c r="AO84" s="1"/>
      <c r="AP84" s="1"/>
      <c r="AQ84" s="1"/>
      <c r="AR84" s="1"/>
      <c r="AT84" s="1"/>
      <c r="AU84" s="1"/>
      <c r="AV84" s="1"/>
      <c r="AW84" s="1"/>
      <c r="AX84" s="1"/>
      <c r="AY84" s="1"/>
      <c r="BA84" s="1"/>
      <c r="BB84" s="1"/>
      <c r="BC84" s="1"/>
      <c r="BD84" s="1"/>
      <c r="BE84" s="1"/>
      <c r="BG84" s="1"/>
      <c r="BH84" s="1"/>
      <c r="BI84" s="1"/>
      <c r="BK84" s="1"/>
      <c r="BL84" s="1"/>
      <c r="BM84" s="1"/>
      <c r="BO84" s="1"/>
      <c r="BP84" s="1"/>
      <c r="BR84" s="1"/>
    </row>
    <row r="85" spans="2:70" x14ac:dyDescent="0.3">
      <c r="R85" s="1" t="s">
        <v>34</v>
      </c>
      <c r="S85" s="6" t="s">
        <v>1</v>
      </c>
      <c r="T85" s="6" t="s">
        <v>2</v>
      </c>
      <c r="U85" s="6" t="s">
        <v>4</v>
      </c>
      <c r="V85" s="6" t="s">
        <v>6</v>
      </c>
      <c r="W85" s="6" t="s">
        <v>8</v>
      </c>
      <c r="X85" s="6" t="s">
        <v>9</v>
      </c>
      <c r="Y85" s="6" t="s">
        <v>11</v>
      </c>
      <c r="Z85" s="6" t="s">
        <v>13</v>
      </c>
      <c r="AA85" s="6" t="s">
        <v>15</v>
      </c>
      <c r="AD85" s="1"/>
      <c r="AE85" s="1"/>
      <c r="AF85" s="1"/>
      <c r="AG85" s="1"/>
      <c r="AH85" s="1"/>
      <c r="AI85" s="1"/>
      <c r="AJ85" s="1"/>
      <c r="AL85" s="1"/>
      <c r="AM85" s="1"/>
      <c r="AN85" s="1"/>
      <c r="AO85" s="1"/>
      <c r="AP85" s="1"/>
      <c r="AQ85" s="1"/>
      <c r="AR85" s="1"/>
      <c r="AT85" s="1"/>
      <c r="AU85" s="1"/>
      <c r="AV85" s="1"/>
      <c r="AW85" s="1"/>
      <c r="AX85" s="1"/>
      <c r="AY85" s="1"/>
      <c r="BA85" s="1"/>
      <c r="BB85" s="1"/>
      <c r="BC85" s="1"/>
      <c r="BD85" s="1"/>
      <c r="BE85" s="1"/>
      <c r="BG85" s="1"/>
      <c r="BH85" s="1"/>
      <c r="BI85" s="1"/>
      <c r="BK85" s="1"/>
      <c r="BL85" s="1"/>
      <c r="BM85" s="1"/>
      <c r="BO85" s="1"/>
      <c r="BP85" s="1"/>
      <c r="BR85" s="1"/>
    </row>
    <row r="86" spans="2:70" x14ac:dyDescent="0.3">
      <c r="R86" s="6" t="s">
        <v>1</v>
      </c>
      <c r="S86" s="1"/>
      <c r="T86" s="1"/>
      <c r="U86" s="1">
        <f>T17-$R$4-$AA$17*(1-AD8)</f>
        <v>-993.86999999999989</v>
      </c>
      <c r="V86" s="1">
        <f t="shared" ref="V86:AA86" si="70">U17-$R$4-$AA$17*(1-AE8)</f>
        <v>-992.98</v>
      </c>
      <c r="W86" s="1">
        <f t="shared" si="70"/>
        <v>-989.64</v>
      </c>
      <c r="X86" s="1">
        <f t="shared" si="70"/>
        <v>-988.65999999999985</v>
      </c>
      <c r="Y86" s="1">
        <f t="shared" si="70"/>
        <v>-987.19999999999993</v>
      </c>
      <c r="Z86" s="1">
        <f t="shared" si="70"/>
        <v>-986.31</v>
      </c>
      <c r="AA86" s="1">
        <f t="shared" si="70"/>
        <v>-981.81</v>
      </c>
      <c r="AD86" s="1"/>
      <c r="AE86" s="1"/>
      <c r="AF86" s="1"/>
      <c r="AG86" s="1"/>
      <c r="AH86" s="1"/>
      <c r="AI86" s="1"/>
      <c r="AJ86" s="1"/>
      <c r="AL86" s="1"/>
      <c r="AM86" s="1"/>
      <c r="AN86" s="1"/>
      <c r="AO86" s="1"/>
      <c r="AP86" s="1"/>
      <c r="AQ86" s="1"/>
      <c r="AR86" s="1"/>
      <c r="AT86" s="1"/>
      <c r="AU86" s="1"/>
      <c r="AV86" s="1"/>
      <c r="AW86" s="1"/>
      <c r="AX86" s="1"/>
      <c r="AY86" s="1"/>
      <c r="BA86" s="1"/>
      <c r="BB86" s="1"/>
      <c r="BC86" s="1"/>
      <c r="BD86" s="1"/>
      <c r="BE86" s="1"/>
      <c r="BG86" s="1"/>
      <c r="BH86" s="1"/>
      <c r="BI86" s="1"/>
      <c r="BK86" s="1"/>
      <c r="BL86" s="1"/>
      <c r="BM86" s="1"/>
      <c r="BO86" s="1"/>
      <c r="BP86" s="1"/>
      <c r="BR86" s="1"/>
    </row>
    <row r="87" spans="2:70" x14ac:dyDescent="0.3">
      <c r="R87" s="6" t="s">
        <v>2</v>
      </c>
      <c r="S87" s="1"/>
      <c r="T87" s="1"/>
      <c r="U87" s="1">
        <f>T17-$S$4-$AA$17*(1-AL8)</f>
        <v>-993.86999999999989</v>
      </c>
      <c r="V87" s="1">
        <f t="shared" ref="V87:AA87" si="71">U17-$S$4-$AA$17*(1-AM8)</f>
        <v>-992.98</v>
      </c>
      <c r="W87" s="1">
        <f t="shared" si="71"/>
        <v>-989.64</v>
      </c>
      <c r="X87" s="1">
        <f t="shared" si="71"/>
        <v>-988.65999999999985</v>
      </c>
      <c r="Y87" s="1">
        <f t="shared" si="71"/>
        <v>-987.19999999999993</v>
      </c>
      <c r="Z87" s="1">
        <f t="shared" si="71"/>
        <v>-986.31</v>
      </c>
      <c r="AA87" s="1">
        <f t="shared" si="71"/>
        <v>-981.81</v>
      </c>
      <c r="AD87" s="1"/>
      <c r="AE87" s="1"/>
      <c r="AF87" s="1"/>
      <c r="AG87" s="1"/>
      <c r="AH87" s="1"/>
      <c r="AI87" s="1"/>
      <c r="AJ87" s="1"/>
      <c r="AL87" s="1"/>
      <c r="AM87" s="1"/>
      <c r="AN87" s="1"/>
      <c r="AO87" s="1"/>
      <c r="AP87" s="1"/>
      <c r="AQ87" s="1"/>
      <c r="AR87" s="1"/>
      <c r="AT87" s="1"/>
      <c r="AU87" s="1"/>
      <c r="AV87" s="1"/>
      <c r="AW87" s="1"/>
      <c r="AX87" s="1"/>
      <c r="AY87" s="1"/>
      <c r="BA87" s="1"/>
      <c r="BB87" s="1"/>
      <c r="BC87" s="1"/>
      <c r="BD87" s="1"/>
      <c r="BE87" s="1"/>
      <c r="BG87" s="1"/>
      <c r="BH87" s="1"/>
      <c r="BI87" s="1"/>
      <c r="BK87" s="1"/>
      <c r="BL87" s="1"/>
      <c r="BM87" s="1"/>
      <c r="BO87" s="1"/>
      <c r="BP87" s="1"/>
      <c r="BR87" s="1"/>
    </row>
    <row r="88" spans="2:70" x14ac:dyDescent="0.3">
      <c r="R88" s="6" t="s">
        <v>4</v>
      </c>
      <c r="S88" s="1"/>
      <c r="T88" s="1"/>
      <c r="U88" s="1"/>
      <c r="V88" s="1">
        <f>U17-$T$4-$AA$17*(1-AT8)</f>
        <v>-992.98</v>
      </c>
      <c r="W88" s="1">
        <f t="shared" ref="W88:AA88" si="72">V17-$T$4-$AA$17*(1-AU8)</f>
        <v>-989.64</v>
      </c>
      <c r="X88" s="1">
        <f t="shared" si="72"/>
        <v>-988.65999999999985</v>
      </c>
      <c r="Y88" s="1">
        <f t="shared" si="72"/>
        <v>-987.19999999999993</v>
      </c>
      <c r="Z88" s="1">
        <f t="shared" si="72"/>
        <v>-986.31</v>
      </c>
      <c r="AA88" s="1">
        <f t="shared" si="72"/>
        <v>-981.81</v>
      </c>
      <c r="AD88" s="1"/>
      <c r="AE88" s="1"/>
      <c r="AF88" s="1"/>
      <c r="AG88" s="1"/>
      <c r="AH88" s="1"/>
      <c r="AI88" s="1"/>
      <c r="AJ88" s="1"/>
      <c r="AL88" s="1"/>
      <c r="AM88" s="1"/>
      <c r="AN88" s="1"/>
      <c r="AO88" s="1"/>
      <c r="AP88" s="1"/>
      <c r="AQ88" s="1"/>
      <c r="AR88" s="1"/>
      <c r="AT88" s="1"/>
      <c r="AU88" s="1"/>
      <c r="AV88" s="1"/>
      <c r="AW88" s="1"/>
      <c r="AX88" s="1"/>
      <c r="AY88" s="1"/>
      <c r="BA88" s="1"/>
      <c r="BB88" s="1"/>
      <c r="BC88" s="1"/>
      <c r="BD88" s="1"/>
      <c r="BE88" s="1"/>
      <c r="BG88" s="1"/>
      <c r="BH88" s="1"/>
      <c r="BI88" s="1"/>
      <c r="BK88" s="1"/>
      <c r="BL88" s="1"/>
      <c r="BM88" s="1"/>
      <c r="BO88" s="1"/>
      <c r="BP88" s="1"/>
      <c r="BR88" s="1"/>
    </row>
    <row r="89" spans="2:70" x14ac:dyDescent="0.3">
      <c r="B89" s="1" t="s">
        <v>61</v>
      </c>
      <c r="C89" s="6" t="s">
        <v>1</v>
      </c>
      <c r="D89" s="6" t="s">
        <v>2</v>
      </c>
      <c r="E89" s="6" t="s">
        <v>4</v>
      </c>
      <c r="F89" s="6" t="s">
        <v>6</v>
      </c>
      <c r="G89" s="6" t="s">
        <v>8</v>
      </c>
      <c r="H89" s="6" t="s">
        <v>9</v>
      </c>
      <c r="I89" s="6" t="s">
        <v>11</v>
      </c>
      <c r="J89" s="6" t="s">
        <v>13</v>
      </c>
      <c r="K89" s="6" t="s">
        <v>15</v>
      </c>
      <c r="R89" s="6" t="s">
        <v>6</v>
      </c>
      <c r="S89" s="1"/>
      <c r="T89" s="1"/>
      <c r="U89" s="1"/>
      <c r="V89" s="1"/>
      <c r="W89" s="1">
        <f>V17-$U$4-$AA$17*(1-BA8)</f>
        <v>-989.64</v>
      </c>
      <c r="X89" s="1">
        <f t="shared" ref="X89:AA89" si="73">W17-$U$4-$AA$17*(1-BB8)</f>
        <v>-988.65999999999985</v>
      </c>
      <c r="Y89" s="1">
        <f t="shared" si="73"/>
        <v>-987.19999999999993</v>
      </c>
      <c r="Z89" s="1">
        <f t="shared" si="73"/>
        <v>-986.31</v>
      </c>
      <c r="AA89" s="1">
        <f t="shared" si="73"/>
        <v>-981.81</v>
      </c>
      <c r="AD89" s="1"/>
      <c r="AE89" s="1"/>
      <c r="AF89" s="1"/>
      <c r="AG89" s="1"/>
      <c r="AH89" s="1"/>
      <c r="AI89" s="1"/>
      <c r="AJ89" s="1"/>
      <c r="AL89" s="1"/>
      <c r="AM89" s="1"/>
      <c r="AN89" s="1"/>
      <c r="AO89" s="1"/>
      <c r="AP89" s="1"/>
      <c r="AQ89" s="1"/>
      <c r="AR89" s="1"/>
      <c r="AT89" s="1"/>
      <c r="AU89" s="1"/>
      <c r="AV89" s="1"/>
      <c r="AW89" s="1"/>
      <c r="AX89" s="1"/>
      <c r="AY89" s="1"/>
      <c r="BA89" s="1"/>
      <c r="BB89" s="1"/>
      <c r="BC89" s="1"/>
      <c r="BD89" s="1"/>
      <c r="BE89" s="1"/>
      <c r="BG89" s="1"/>
      <c r="BH89" s="1"/>
      <c r="BI89" s="1"/>
      <c r="BK89" s="1"/>
      <c r="BL89" s="1"/>
      <c r="BM89" s="1"/>
      <c r="BO89" s="1"/>
      <c r="BP89" s="1"/>
      <c r="BR89" s="1"/>
    </row>
    <row r="90" spans="2:70" x14ac:dyDescent="0.3">
      <c r="B90" s="6" t="s">
        <v>1</v>
      </c>
      <c r="C90" s="1"/>
      <c r="D90" s="1"/>
      <c r="E90" s="18">
        <f>SUM(AD3,AD4,AD6,AD7)</f>
        <v>1</v>
      </c>
      <c r="F90" s="18">
        <f t="shared" ref="F90:K90" si="74">SUM(AE3,AE4,AE6,AE7)</f>
        <v>1</v>
      </c>
      <c r="G90" s="18">
        <f t="shared" si="74"/>
        <v>1</v>
      </c>
      <c r="H90" s="18">
        <f t="shared" si="74"/>
        <v>1</v>
      </c>
      <c r="I90" s="18">
        <f t="shared" si="74"/>
        <v>1</v>
      </c>
      <c r="J90" s="18">
        <f t="shared" si="74"/>
        <v>1</v>
      </c>
      <c r="K90" s="18">
        <f t="shared" si="74"/>
        <v>1</v>
      </c>
      <c r="R90" s="6" t="s">
        <v>8</v>
      </c>
      <c r="S90" s="1"/>
      <c r="T90" s="1"/>
      <c r="U90" s="1"/>
      <c r="V90" s="1"/>
      <c r="W90" s="1"/>
      <c r="X90" s="1"/>
      <c r="Y90" s="1">
        <f>X17-$V$4-$AA$17*(1-BG8)</f>
        <v>-987.19999999999993</v>
      </c>
      <c r="Z90" s="1">
        <f>Y17-$V$4-$AA$17*(1-BH8)</f>
        <v>-986.31</v>
      </c>
      <c r="AA90" s="1">
        <f>Z17-$V$4-$AA$17*(1-BI8)</f>
        <v>-981.81</v>
      </c>
      <c r="AD90" s="1"/>
      <c r="AE90" s="1"/>
      <c r="AF90" s="1"/>
      <c r="AG90" s="1"/>
      <c r="AH90" s="1"/>
      <c r="AI90" s="1"/>
      <c r="AJ90" s="1"/>
      <c r="AL90" s="1"/>
      <c r="AM90" s="1"/>
      <c r="AN90" s="1"/>
      <c r="AO90" s="1"/>
      <c r="AP90" s="1"/>
      <c r="AQ90" s="1"/>
      <c r="AR90" s="1"/>
      <c r="AT90" s="1"/>
      <c r="AU90" s="1"/>
      <c r="AV90" s="1"/>
      <c r="AW90" s="1"/>
      <c r="AX90" s="1"/>
      <c r="AY90" s="1"/>
      <c r="BA90" s="1"/>
      <c r="BB90" s="1"/>
      <c r="BC90" s="1"/>
      <c r="BD90" s="1"/>
      <c r="BE90" s="1"/>
      <c r="BG90" s="1"/>
      <c r="BH90" s="1"/>
      <c r="BI90" s="1"/>
      <c r="BK90" s="1"/>
      <c r="BL90" s="1"/>
      <c r="BM90" s="1"/>
      <c r="BO90" s="1"/>
      <c r="BP90" s="1"/>
      <c r="BR90" s="1"/>
    </row>
    <row r="91" spans="2:70" x14ac:dyDescent="0.3">
      <c r="B91" s="6" t="s">
        <v>2</v>
      </c>
      <c r="C91" s="1"/>
      <c r="D91" s="1"/>
      <c r="E91" s="18">
        <f>SUM(AL3,AL4,AL6,AL7)</f>
        <v>1</v>
      </c>
      <c r="F91" s="18">
        <f t="shared" ref="F91:K91" si="75">SUM(AM3,AM4,AM6,AM7)</f>
        <v>1</v>
      </c>
      <c r="G91" s="18">
        <f t="shared" si="75"/>
        <v>1</v>
      </c>
      <c r="H91" s="18">
        <f t="shared" si="75"/>
        <v>1</v>
      </c>
      <c r="I91" s="18">
        <f t="shared" si="75"/>
        <v>1</v>
      </c>
      <c r="J91" s="18">
        <f t="shared" si="75"/>
        <v>1</v>
      </c>
      <c r="K91" s="18">
        <f t="shared" si="75"/>
        <v>1</v>
      </c>
      <c r="R91" s="6" t="s">
        <v>9</v>
      </c>
      <c r="S91" s="1"/>
      <c r="T91" s="1"/>
      <c r="U91" s="1"/>
      <c r="V91" s="1"/>
      <c r="W91" s="1"/>
      <c r="X91" s="1"/>
      <c r="Y91" s="1">
        <f>X17-$W$4-$AA$17*(1-BK8)</f>
        <v>-987.19999999999993</v>
      </c>
      <c r="Z91" s="1">
        <f>Y17-$W$4-$AA$17*(1-BL8)</f>
        <v>-986.31</v>
      </c>
      <c r="AA91" s="1">
        <f>Z17-$W$4-$AA$17*(1-BM8)</f>
        <v>-981.81</v>
      </c>
      <c r="AD91" s="1"/>
      <c r="AE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T91" s="1"/>
      <c r="AU91" s="1"/>
      <c r="AV91" s="1"/>
      <c r="AW91" s="1"/>
      <c r="AX91" s="1"/>
      <c r="AY91" s="1"/>
      <c r="BA91" s="1"/>
      <c r="BB91" s="1"/>
      <c r="BC91" s="1"/>
      <c r="BD91" s="1"/>
      <c r="BE91" s="1"/>
      <c r="BG91" s="1"/>
      <c r="BH91" s="1"/>
      <c r="BI91" s="1"/>
      <c r="BK91" s="1"/>
      <c r="BL91" s="1"/>
      <c r="BM91" s="1"/>
      <c r="BO91" s="1"/>
      <c r="BP91" s="1"/>
      <c r="BR91" s="1"/>
    </row>
    <row r="92" spans="2:70" x14ac:dyDescent="0.3">
      <c r="B92" s="6" t="s">
        <v>4</v>
      </c>
      <c r="C92" s="1"/>
      <c r="D92" s="1"/>
      <c r="E92" s="1"/>
      <c r="F92" s="13">
        <f>SUM(AT3,AT4,AT6,AT7)</f>
        <v>1</v>
      </c>
      <c r="G92" s="13">
        <f t="shared" ref="G92:K92" si="76">SUM(AU3,AU4,AU6,AU7)</f>
        <v>1</v>
      </c>
      <c r="H92" s="13">
        <f t="shared" si="76"/>
        <v>1</v>
      </c>
      <c r="I92" s="13">
        <f t="shared" si="76"/>
        <v>1</v>
      </c>
      <c r="J92" s="13">
        <f t="shared" si="76"/>
        <v>1</v>
      </c>
      <c r="K92" s="13">
        <f t="shared" si="76"/>
        <v>1</v>
      </c>
      <c r="R92" s="6" t="s">
        <v>11</v>
      </c>
      <c r="S92" s="1"/>
      <c r="T92" s="1"/>
      <c r="U92" s="1"/>
      <c r="V92" s="1"/>
      <c r="W92" s="1"/>
      <c r="X92" s="1"/>
      <c r="Y92" s="1"/>
      <c r="Z92" s="1">
        <f>Y17-$X$4-$AA$17*(1-BO8)</f>
        <v>-986.31</v>
      </c>
      <c r="AA92" s="1">
        <f>Z17-$X$4-$AA$17*(1-BP8)</f>
        <v>-981.81</v>
      </c>
      <c r="AD92" s="1"/>
      <c r="AE92" s="1"/>
      <c r="AF92" s="1"/>
      <c r="AG92" s="1"/>
      <c r="AH92" s="1"/>
      <c r="AI92" s="1"/>
      <c r="AJ92" s="1"/>
      <c r="AL92" s="1"/>
      <c r="AM92" s="1"/>
      <c r="AN92" s="1"/>
      <c r="AO92" s="1"/>
      <c r="AP92" s="1"/>
      <c r="AQ92" s="1"/>
      <c r="AR92" s="1"/>
      <c r="AT92" s="1"/>
      <c r="AU92" s="1"/>
      <c r="AV92" s="1"/>
      <c r="AW92" s="1"/>
      <c r="AX92" s="1"/>
      <c r="AY92" s="1"/>
      <c r="BA92" s="1"/>
      <c r="BB92" s="1"/>
      <c r="BC92" s="1"/>
      <c r="BD92" s="1"/>
      <c r="BE92" s="1"/>
      <c r="BG92" s="1"/>
      <c r="BH92" s="1"/>
      <c r="BI92" s="1"/>
      <c r="BK92" s="1"/>
      <c r="BL92" s="1"/>
      <c r="BM92" s="1"/>
      <c r="BO92" s="1"/>
      <c r="BP92" s="1"/>
      <c r="BR92" s="1"/>
    </row>
    <row r="93" spans="2:70" x14ac:dyDescent="0.3">
      <c r="B93" s="6" t="s">
        <v>6</v>
      </c>
      <c r="C93" s="1"/>
      <c r="D93" s="1"/>
      <c r="E93" s="1"/>
      <c r="F93" s="1"/>
      <c r="G93" s="13">
        <f>SUM(BA3,BA4,BA6,BA7)</f>
        <v>1</v>
      </c>
      <c r="H93" s="13">
        <f t="shared" ref="H93:K93" si="77">SUM(BB3,BB4,BB6,BB7)</f>
        <v>1</v>
      </c>
      <c r="I93" s="13">
        <f t="shared" si="77"/>
        <v>1</v>
      </c>
      <c r="J93" s="13">
        <f t="shared" si="77"/>
        <v>1</v>
      </c>
      <c r="K93" s="13">
        <f t="shared" si="77"/>
        <v>1</v>
      </c>
      <c r="Q93" s="5"/>
      <c r="R93" s="6" t="s">
        <v>13</v>
      </c>
      <c r="S93" s="1"/>
      <c r="T93" s="1"/>
      <c r="U93" s="1"/>
      <c r="V93" s="1"/>
      <c r="W93" s="1"/>
      <c r="X93" s="1"/>
      <c r="Y93" s="1"/>
      <c r="Z93" s="1"/>
      <c r="AA93" s="1">
        <f>Z17-$Y$4-$AA$17*(1-BR8)</f>
        <v>-981.81</v>
      </c>
      <c r="AD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T93" s="1"/>
      <c r="AU93" s="1"/>
      <c r="AV93" s="1"/>
      <c r="AW93" s="1"/>
      <c r="AX93" s="1"/>
      <c r="AY93" s="1"/>
      <c r="BA93" s="1"/>
      <c r="BB93" s="1"/>
      <c r="BC93" s="1"/>
      <c r="BD93" s="1"/>
      <c r="BE93" s="1"/>
      <c r="BG93" s="1"/>
      <c r="BH93" s="1"/>
      <c r="BI93" s="1"/>
      <c r="BK93" s="1"/>
      <c r="BL93" s="1"/>
      <c r="BM93" s="1"/>
      <c r="BO93" s="1"/>
      <c r="BP93" s="1"/>
      <c r="BR93" s="1"/>
    </row>
    <row r="94" spans="2:70" x14ac:dyDescent="0.3">
      <c r="B94" s="6" t="s">
        <v>8</v>
      </c>
      <c r="C94" s="1"/>
      <c r="D94" s="1"/>
      <c r="E94" s="1"/>
      <c r="F94" s="1"/>
      <c r="G94" s="8"/>
      <c r="H94" s="1"/>
      <c r="I94" s="13">
        <f>SUM(BG3,BG4,BG6,BG7)</f>
        <v>1</v>
      </c>
      <c r="J94" s="13">
        <f t="shared" ref="J94:K94" si="78">SUM(BH3,BH4,BH6,BH7)</f>
        <v>1</v>
      </c>
      <c r="K94" s="13">
        <f t="shared" si="78"/>
        <v>1</v>
      </c>
      <c r="R94" s="6" t="s">
        <v>15</v>
      </c>
      <c r="S94" s="1"/>
      <c r="T94" s="1"/>
      <c r="U94" s="1"/>
      <c r="V94" s="1"/>
      <c r="W94" s="1"/>
      <c r="X94" s="1"/>
      <c r="Y94" s="1"/>
      <c r="Z94" s="1"/>
      <c r="AA94" s="1"/>
      <c r="AD94" s="1"/>
      <c r="AE94" s="1"/>
      <c r="AF94" s="1"/>
      <c r="AG94" s="1"/>
      <c r="AH94" s="1"/>
      <c r="AI94" s="1"/>
      <c r="AJ94" s="1"/>
      <c r="AL94" s="1"/>
      <c r="AM94" s="1"/>
      <c r="AN94" s="1"/>
      <c r="AO94" s="1"/>
      <c r="AP94" s="1"/>
      <c r="AQ94" s="1"/>
      <c r="AR94" s="1"/>
      <c r="AT94" s="1"/>
      <c r="AU94" s="1"/>
      <c r="AV94" s="1"/>
      <c r="AW94" s="1"/>
      <c r="AX94" s="1"/>
      <c r="AY94" s="1"/>
      <c r="BA94" s="1"/>
      <c r="BB94" s="1"/>
      <c r="BC94" s="1"/>
      <c r="BD94" s="1"/>
      <c r="BE94" s="1"/>
      <c r="BG94" s="1"/>
      <c r="BH94" s="1"/>
      <c r="BI94" s="1"/>
      <c r="BK94" s="1"/>
      <c r="BL94" s="1"/>
      <c r="BM94" s="1"/>
      <c r="BO94" s="1"/>
      <c r="BP94" s="1"/>
      <c r="BR94" s="1"/>
    </row>
    <row r="95" spans="2:70" x14ac:dyDescent="0.3">
      <c r="B95" s="6" t="s">
        <v>9</v>
      </c>
      <c r="C95" s="1"/>
      <c r="D95" s="1"/>
      <c r="E95" s="1"/>
      <c r="F95" s="11"/>
      <c r="G95" s="1"/>
      <c r="H95" s="12"/>
      <c r="I95" s="13">
        <f>SUM(BK3,BK4,BK6,BK7)</f>
        <v>1</v>
      </c>
      <c r="J95" s="13">
        <f t="shared" ref="J95:K95" si="79">SUM(BL3,BL4,BL6,BL7)</f>
        <v>1</v>
      </c>
      <c r="K95" s="13">
        <f t="shared" si="79"/>
        <v>1</v>
      </c>
      <c r="AD95" s="1"/>
      <c r="AE95" s="1"/>
      <c r="AF95" s="1"/>
      <c r="AG95" s="1"/>
      <c r="AH95" s="1"/>
      <c r="AI95" s="1"/>
      <c r="AJ95" s="1"/>
      <c r="AL95" s="1"/>
      <c r="AM95" s="1"/>
      <c r="AN95" s="1"/>
      <c r="AO95" s="1"/>
      <c r="AP95" s="1"/>
      <c r="AQ95" s="1"/>
      <c r="AR95" s="1"/>
      <c r="AT95" s="1"/>
      <c r="AU95" s="1"/>
      <c r="AV95" s="1"/>
      <c r="AW95" s="1"/>
      <c r="AX95" s="1"/>
      <c r="AY95" s="1"/>
      <c r="BA95" s="1"/>
      <c r="BB95" s="1"/>
      <c r="BC95" s="1"/>
      <c r="BD95" s="1"/>
      <c r="BE95" s="1"/>
      <c r="BG95" s="1"/>
      <c r="BH95" s="1"/>
      <c r="BI95" s="1"/>
      <c r="BK95" s="1"/>
      <c r="BL95" s="1"/>
      <c r="BM95" s="1"/>
      <c r="BO95" s="1"/>
      <c r="BP95" s="1"/>
      <c r="BR95" s="1"/>
    </row>
    <row r="96" spans="2:70" x14ac:dyDescent="0.3">
      <c r="B96" s="6" t="s">
        <v>11</v>
      </c>
      <c r="C96" s="1"/>
      <c r="D96" s="1"/>
      <c r="E96" s="1"/>
      <c r="F96" s="1"/>
      <c r="G96" s="16"/>
      <c r="H96" s="1"/>
      <c r="I96" s="1"/>
      <c r="J96" s="13">
        <f>SUM(BO3,BO4,BO6,BO7)</f>
        <v>1</v>
      </c>
      <c r="K96" s="13">
        <f>SUM(BP3,BP4,BP6,BP7)</f>
        <v>1</v>
      </c>
      <c r="AD96" s="1"/>
      <c r="AE96" s="1"/>
      <c r="AF96" s="1"/>
      <c r="AG96" s="1"/>
      <c r="AH96" s="1"/>
      <c r="AI96" s="1"/>
      <c r="AJ96" s="1"/>
      <c r="AL96" s="1"/>
      <c r="AM96" s="1"/>
      <c r="AN96" s="1"/>
      <c r="AO96" s="1"/>
      <c r="AP96" s="1"/>
      <c r="AQ96" s="1"/>
      <c r="AR96" s="1"/>
      <c r="AT96" s="1"/>
      <c r="AU96" s="1"/>
      <c r="AV96" s="1"/>
      <c r="AW96" s="1"/>
      <c r="AX96" s="1"/>
      <c r="AY96" s="1"/>
      <c r="BA96" s="1"/>
      <c r="BB96" s="1"/>
      <c r="BC96" s="1"/>
      <c r="BD96" s="1"/>
      <c r="BE96" s="1"/>
      <c r="BG96" s="1"/>
      <c r="BH96" s="1"/>
      <c r="BI96" s="1"/>
      <c r="BK96" s="1"/>
      <c r="BL96" s="1"/>
      <c r="BM96" s="1"/>
      <c r="BO96" s="1"/>
      <c r="BP96" s="1"/>
      <c r="BR96" s="1"/>
    </row>
    <row r="97" spans="2:70" x14ac:dyDescent="0.3">
      <c r="B97" s="6" t="s">
        <v>13</v>
      </c>
      <c r="C97" s="1"/>
      <c r="D97" s="1"/>
      <c r="E97" s="1"/>
      <c r="F97" s="1"/>
      <c r="G97" s="1"/>
      <c r="H97" s="1"/>
      <c r="I97" s="1"/>
      <c r="J97" s="1"/>
      <c r="K97" s="13">
        <f>SUM(BR3,BR4,BR6,BR7)</f>
        <v>1</v>
      </c>
      <c r="AD97" s="1"/>
      <c r="AE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R97" s="1"/>
      <c r="AT97" s="1"/>
      <c r="AU97" s="1"/>
      <c r="AV97" s="1"/>
      <c r="AW97" s="1"/>
      <c r="AX97" s="1"/>
      <c r="AY97" s="1"/>
      <c r="BA97" s="1"/>
      <c r="BB97" s="1"/>
      <c r="BC97" s="1"/>
      <c r="BD97" s="1"/>
      <c r="BE97" s="1"/>
      <c r="BG97" s="1"/>
      <c r="BH97" s="1"/>
      <c r="BI97" s="1"/>
      <c r="BK97" s="1"/>
      <c r="BL97" s="1"/>
      <c r="BM97" s="1"/>
      <c r="BO97" s="1"/>
      <c r="BP97" s="1"/>
      <c r="BR97" s="1"/>
    </row>
    <row r="98" spans="2:70" x14ac:dyDescent="0.3">
      <c r="B98" s="6" t="s">
        <v>15</v>
      </c>
      <c r="C98" s="1"/>
      <c r="D98" s="1"/>
      <c r="E98" s="1"/>
      <c r="F98" s="1"/>
      <c r="G98" s="1"/>
      <c r="H98" s="1"/>
      <c r="I98" s="1"/>
      <c r="J98" s="1"/>
      <c r="K98" s="1"/>
      <c r="AD98" s="1"/>
      <c r="AE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R98" s="1"/>
      <c r="AT98" s="1"/>
      <c r="AU98" s="1"/>
      <c r="AV98" s="1"/>
      <c r="AW98" s="1"/>
      <c r="AX98" s="1"/>
      <c r="AY98" s="1"/>
      <c r="BA98" s="1"/>
      <c r="BB98" s="1"/>
      <c r="BC98" s="1"/>
      <c r="BD98" s="1"/>
      <c r="BE98" s="1"/>
      <c r="BG98" s="1"/>
      <c r="BH98" s="1"/>
      <c r="BI98" s="1"/>
      <c r="BK98" s="1"/>
      <c r="BL98" s="1"/>
      <c r="BM98" s="1"/>
      <c r="BO98" s="1"/>
      <c r="BP98" s="1"/>
      <c r="BR98" s="1"/>
    </row>
    <row r="99" spans="2:70" x14ac:dyDescent="0.3">
      <c r="AD99" s="1"/>
      <c r="AE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R99" s="1"/>
      <c r="AT99" s="1"/>
      <c r="AU99" s="1"/>
      <c r="AV99" s="1"/>
      <c r="AW99" s="1"/>
      <c r="AX99" s="1"/>
      <c r="AY99" s="1"/>
      <c r="BA99" s="1"/>
      <c r="BB99" s="1"/>
      <c r="BC99" s="1"/>
      <c r="BD99" s="1"/>
      <c r="BE99" s="1"/>
      <c r="BG99" s="1"/>
      <c r="BH99" s="1"/>
      <c r="BI99" s="1"/>
      <c r="BK99" s="1"/>
      <c r="BL99" s="1"/>
      <c r="BM99" s="1"/>
      <c r="BO99" s="1"/>
      <c r="BP99" s="1"/>
      <c r="BR99" s="1"/>
    </row>
    <row r="100" spans="2:70" x14ac:dyDescent="0.3">
      <c r="O100" s="46" t="s">
        <v>128</v>
      </c>
      <c r="P100" s="45" t="s">
        <v>138</v>
      </c>
      <c r="Q100" s="45" t="s">
        <v>139</v>
      </c>
      <c r="AD100" s="1"/>
      <c r="AE100" s="1"/>
      <c r="AF100" s="1"/>
      <c r="AG100" s="1"/>
      <c r="AH100" s="1"/>
      <c r="AI100" s="1"/>
      <c r="AJ100" s="1"/>
      <c r="AL100" s="1"/>
      <c r="AM100" s="1"/>
      <c r="AN100" s="1"/>
      <c r="AO100" s="1"/>
      <c r="AP100" s="1"/>
      <c r="AQ100" s="1"/>
      <c r="AR100" s="1"/>
      <c r="AT100" s="1"/>
      <c r="AU100" s="1"/>
      <c r="AV100" s="1"/>
      <c r="AW100" s="1"/>
      <c r="AX100" s="1"/>
      <c r="AY100" s="1"/>
      <c r="BA100" s="1"/>
      <c r="BB100" s="1"/>
      <c r="BC100" s="1"/>
      <c r="BD100" s="1"/>
      <c r="BE100" s="1"/>
      <c r="BG100" s="1"/>
      <c r="BH100" s="1"/>
      <c r="BI100" s="1"/>
      <c r="BK100" s="1"/>
      <c r="BL100" s="1"/>
      <c r="BM100" s="1"/>
      <c r="BO100" s="1"/>
      <c r="BP100" s="1"/>
      <c r="BR100" s="1"/>
    </row>
    <row r="101" spans="2:70" x14ac:dyDescent="0.3">
      <c r="B101" s="1" t="s">
        <v>62</v>
      </c>
      <c r="C101" s="6" t="s">
        <v>1</v>
      </c>
      <c r="D101" s="6" t="s">
        <v>2</v>
      </c>
      <c r="E101" s="6" t="s">
        <v>4</v>
      </c>
      <c r="F101" s="6" t="s">
        <v>6</v>
      </c>
      <c r="G101" s="6" t="s">
        <v>8</v>
      </c>
      <c r="H101" s="6" t="s">
        <v>9</v>
      </c>
      <c r="I101" s="6" t="s">
        <v>11</v>
      </c>
      <c r="J101" s="6" t="s">
        <v>13</v>
      </c>
      <c r="K101" s="6" t="s">
        <v>15</v>
      </c>
      <c r="O101" s="46" t="s">
        <v>129</v>
      </c>
      <c r="P101" s="45" t="s">
        <v>1</v>
      </c>
      <c r="Q101" s="45">
        <v>0</v>
      </c>
      <c r="AD101" s="1"/>
      <c r="AE101" s="1"/>
      <c r="AF101" s="1"/>
      <c r="AG101" s="1"/>
      <c r="AH101" s="1"/>
      <c r="AI101" s="1"/>
      <c r="AJ101" s="1"/>
      <c r="AL101" s="1"/>
      <c r="AM101" s="1"/>
      <c r="AN101" s="1"/>
      <c r="AO101" s="1"/>
      <c r="AP101" s="1"/>
      <c r="AQ101" s="1"/>
      <c r="AR101" s="1"/>
      <c r="AT101" s="1"/>
      <c r="AU101" s="1"/>
      <c r="AV101" s="1"/>
      <c r="AW101" s="1"/>
      <c r="AX101" s="1"/>
      <c r="AY101" s="1"/>
      <c r="BA101" s="1"/>
      <c r="BB101" s="1"/>
      <c r="BC101" s="1"/>
      <c r="BD101" s="1"/>
      <c r="BE101" s="1"/>
      <c r="BG101" s="1"/>
      <c r="BH101" s="1"/>
      <c r="BI101" s="1"/>
      <c r="BK101" s="1"/>
      <c r="BL101" s="1"/>
      <c r="BM101" s="1"/>
      <c r="BO101" s="1"/>
      <c r="BP101" s="1"/>
      <c r="BR101" s="1"/>
    </row>
    <row r="102" spans="2:70" x14ac:dyDescent="0.3">
      <c r="B102" s="6" t="s">
        <v>1</v>
      </c>
      <c r="C102" s="1"/>
      <c r="D102" s="1"/>
      <c r="E102" s="18">
        <f>SUM(AD5,AD8)</f>
        <v>0</v>
      </c>
      <c r="F102" s="18">
        <f t="shared" ref="F102:K102" si="80">SUM(AE5,AE8)</f>
        <v>0</v>
      </c>
      <c r="G102" s="18">
        <f t="shared" si="80"/>
        <v>0</v>
      </c>
      <c r="H102" s="18">
        <f t="shared" si="80"/>
        <v>0</v>
      </c>
      <c r="I102" s="18">
        <f t="shared" si="80"/>
        <v>0</v>
      </c>
      <c r="J102" s="18">
        <f t="shared" si="80"/>
        <v>0</v>
      </c>
      <c r="K102" s="18">
        <f t="shared" si="80"/>
        <v>0</v>
      </c>
      <c r="O102" s="46" t="s">
        <v>129</v>
      </c>
      <c r="P102" s="45" t="s">
        <v>2</v>
      </c>
      <c r="Q102" s="45">
        <v>2.23</v>
      </c>
      <c r="AD102" s="1"/>
      <c r="AE102" s="1"/>
      <c r="AF102" s="1"/>
      <c r="AG102" s="1"/>
      <c r="AH102" s="1"/>
      <c r="AI102" s="1"/>
      <c r="AJ102" s="1"/>
      <c r="AL102" s="1"/>
      <c r="AM102" s="1"/>
      <c r="AN102" s="1"/>
      <c r="AO102" s="1"/>
      <c r="AP102" s="1"/>
      <c r="AQ102" s="1"/>
      <c r="AR102" s="1"/>
      <c r="AT102" s="1"/>
      <c r="AU102" s="1"/>
      <c r="AV102" s="1"/>
      <c r="AW102" s="1"/>
      <c r="AX102" s="1"/>
      <c r="AY102" s="1"/>
      <c r="BA102" s="1"/>
      <c r="BB102" s="1"/>
      <c r="BC102" s="1"/>
      <c r="BD102" s="1"/>
      <c r="BE102" s="1"/>
      <c r="BG102" s="1"/>
      <c r="BH102" s="1"/>
      <c r="BI102" s="1"/>
      <c r="BK102" s="1"/>
      <c r="BL102" s="1"/>
      <c r="BM102" s="1"/>
      <c r="BO102" s="1"/>
      <c r="BP102" s="1"/>
      <c r="BR102" s="1"/>
    </row>
    <row r="103" spans="2:70" x14ac:dyDescent="0.3">
      <c r="B103" s="6" t="s">
        <v>2</v>
      </c>
      <c r="C103" s="1"/>
      <c r="D103" s="1"/>
      <c r="E103" s="18">
        <f>SUM(AL5,AL8)</f>
        <v>0</v>
      </c>
      <c r="F103" s="18">
        <f t="shared" ref="F103:K103" si="81">SUM(AM5,AM8)</f>
        <v>0</v>
      </c>
      <c r="G103" s="18">
        <f t="shared" si="81"/>
        <v>0</v>
      </c>
      <c r="H103" s="18">
        <f t="shared" si="81"/>
        <v>0</v>
      </c>
      <c r="I103" s="18">
        <f t="shared" si="81"/>
        <v>0</v>
      </c>
      <c r="J103" s="18">
        <f t="shared" si="81"/>
        <v>0</v>
      </c>
      <c r="K103" s="18">
        <f t="shared" si="81"/>
        <v>0</v>
      </c>
      <c r="O103" s="46" t="s">
        <v>130</v>
      </c>
      <c r="P103" s="45" t="s">
        <v>3</v>
      </c>
      <c r="Q103" s="45">
        <v>1.34</v>
      </c>
      <c r="AD103" s="1"/>
      <c r="AE103" s="1"/>
      <c r="AF103" s="1"/>
      <c r="AG103" s="1"/>
      <c r="AH103" s="1"/>
      <c r="AI103" s="1"/>
      <c r="AJ103" s="1"/>
      <c r="AL103" s="1"/>
      <c r="AM103" s="1"/>
      <c r="AN103" s="1"/>
      <c r="AO103" s="1"/>
      <c r="AP103" s="1"/>
      <c r="AQ103" s="1"/>
      <c r="AR103" s="1"/>
      <c r="AT103" s="1"/>
      <c r="AU103" s="1"/>
      <c r="AV103" s="1"/>
      <c r="AW103" s="1"/>
      <c r="AX103" s="1"/>
      <c r="AY103" s="1"/>
      <c r="BA103" s="1"/>
      <c r="BB103" s="1"/>
      <c r="BC103" s="1"/>
      <c r="BD103" s="1"/>
      <c r="BE103" s="1"/>
      <c r="BG103" s="1"/>
      <c r="BH103" s="1"/>
      <c r="BI103" s="1"/>
      <c r="BK103" s="1"/>
      <c r="BL103" s="1"/>
      <c r="BM103" s="1"/>
      <c r="BO103" s="1"/>
      <c r="BP103" s="1"/>
      <c r="BR103" s="1"/>
    </row>
    <row r="104" spans="2:70" x14ac:dyDescent="0.3">
      <c r="B104" s="6" t="s">
        <v>4</v>
      </c>
      <c r="C104" s="1"/>
      <c r="D104" s="1"/>
      <c r="E104" s="1"/>
      <c r="F104" s="13">
        <f>SUM(AT5,AT8)</f>
        <v>0</v>
      </c>
      <c r="G104" s="13">
        <f t="shared" ref="G104:K104" si="82">SUM(AU5,AU8)</f>
        <v>0</v>
      </c>
      <c r="H104" s="13">
        <f t="shared" si="82"/>
        <v>0</v>
      </c>
      <c r="I104" s="13">
        <f t="shared" si="82"/>
        <v>0</v>
      </c>
      <c r="J104" s="13">
        <f t="shared" si="82"/>
        <v>0</v>
      </c>
      <c r="K104" s="13">
        <f t="shared" si="82"/>
        <v>0</v>
      </c>
      <c r="O104" s="46" t="s">
        <v>131</v>
      </c>
      <c r="P104" s="45" t="s">
        <v>4</v>
      </c>
      <c r="Q104" s="45">
        <v>0.12</v>
      </c>
      <c r="AD104" s="1"/>
      <c r="AE104" s="1"/>
      <c r="AF104" s="1"/>
      <c r="AG104" s="1"/>
      <c r="AH104" s="1"/>
      <c r="AI104" s="1"/>
      <c r="AJ104" s="1"/>
      <c r="AL104" s="1"/>
      <c r="AM104" s="1"/>
      <c r="AN104" s="1"/>
      <c r="AO104" s="1"/>
      <c r="AP104" s="1"/>
      <c r="AQ104" s="1"/>
      <c r="AR104" s="1"/>
      <c r="AT104" s="1"/>
      <c r="AU104" s="1"/>
      <c r="AV104" s="1"/>
      <c r="AW104" s="1"/>
      <c r="AX104" s="1"/>
      <c r="AY104" s="1"/>
      <c r="BA104" s="1"/>
      <c r="BB104" s="1"/>
      <c r="BC104" s="1"/>
      <c r="BD104" s="1"/>
      <c r="BE104" s="1"/>
      <c r="BG104" s="1"/>
      <c r="BH104" s="1"/>
      <c r="BI104" s="1"/>
      <c r="BK104" s="1"/>
      <c r="BL104" s="1"/>
      <c r="BM104" s="1"/>
      <c r="BO104" s="1"/>
      <c r="BP104" s="1"/>
      <c r="BR104" s="1"/>
    </row>
    <row r="105" spans="2:70" x14ac:dyDescent="0.3">
      <c r="B105" s="6" t="s">
        <v>6</v>
      </c>
      <c r="C105" s="1"/>
      <c r="D105" s="1"/>
      <c r="E105" s="1"/>
      <c r="F105" s="1"/>
      <c r="G105" s="13">
        <f>SUM(BA5,BA8)</f>
        <v>0</v>
      </c>
      <c r="H105" s="13">
        <f t="shared" ref="H105:K105" si="83">SUM(BB5,BB8)</f>
        <v>0</v>
      </c>
      <c r="I105" s="13">
        <f t="shared" si="83"/>
        <v>0</v>
      </c>
      <c r="J105" s="13">
        <f t="shared" si="83"/>
        <v>0</v>
      </c>
      <c r="K105" s="13">
        <f t="shared" si="83"/>
        <v>0</v>
      </c>
      <c r="O105" s="46" t="s">
        <v>132</v>
      </c>
      <c r="P105" s="45" t="s">
        <v>5</v>
      </c>
      <c r="Q105" s="45">
        <v>0.77</v>
      </c>
      <c r="AD105" s="1"/>
      <c r="AE105" s="1"/>
      <c r="AF105" s="1"/>
      <c r="AG105" s="1"/>
      <c r="AH105" s="1"/>
      <c r="AI105" s="1"/>
      <c r="AJ105" s="1"/>
      <c r="AL105" s="1"/>
      <c r="AM105" s="1"/>
      <c r="AN105" s="1"/>
      <c r="AO105" s="1"/>
      <c r="AP105" s="1"/>
      <c r="AQ105" s="1"/>
      <c r="AR105" s="1"/>
      <c r="AT105" s="1"/>
      <c r="AU105" s="1"/>
      <c r="AV105" s="1"/>
      <c r="AW105" s="1"/>
      <c r="AX105" s="1"/>
      <c r="AY105" s="1"/>
      <c r="BA105" s="1"/>
      <c r="BB105" s="1"/>
      <c r="BC105" s="1"/>
      <c r="BD105" s="1"/>
      <c r="BE105" s="1"/>
      <c r="BG105" s="1"/>
      <c r="BH105" s="1"/>
      <c r="BI105" s="1"/>
      <c r="BK105" s="1"/>
      <c r="BL105" s="1"/>
      <c r="BM105" s="1"/>
      <c r="BO105" s="1"/>
      <c r="BP105" s="1"/>
      <c r="BR105" s="1"/>
    </row>
    <row r="106" spans="2:70" x14ac:dyDescent="0.3">
      <c r="B106" s="6" t="s">
        <v>8</v>
      </c>
      <c r="C106" s="1"/>
      <c r="D106" s="1"/>
      <c r="E106" s="1"/>
      <c r="F106" s="1"/>
      <c r="G106" s="8"/>
      <c r="H106" s="1"/>
      <c r="I106" s="13">
        <f>SUM(BG5,BG8)</f>
        <v>0</v>
      </c>
      <c r="J106" s="13">
        <f t="shared" ref="J106:K106" si="84">SUM(BH5,BH8)</f>
        <v>0</v>
      </c>
      <c r="K106" s="13">
        <f t="shared" si="84"/>
        <v>0</v>
      </c>
      <c r="O106" s="47" t="s">
        <v>133</v>
      </c>
      <c r="P106" s="45" t="s">
        <v>6</v>
      </c>
      <c r="Q106" s="45">
        <v>0.12</v>
      </c>
      <c r="AD106" s="1"/>
      <c r="AE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BA106" s="1"/>
      <c r="BB106" s="1"/>
      <c r="BC106" s="1"/>
      <c r="BD106" s="1"/>
      <c r="BE106" s="1"/>
      <c r="BG106" s="1"/>
      <c r="BH106" s="1"/>
      <c r="BI106" s="1"/>
      <c r="BK106" s="1"/>
      <c r="BL106" s="1"/>
      <c r="BM106" s="1"/>
      <c r="BO106" s="1"/>
      <c r="BP106" s="1"/>
      <c r="BR106" s="1"/>
    </row>
    <row r="107" spans="2:70" x14ac:dyDescent="0.3">
      <c r="B107" s="6" t="s">
        <v>9</v>
      </c>
      <c r="C107" s="1"/>
      <c r="D107" s="1"/>
      <c r="E107" s="1"/>
      <c r="F107" s="11"/>
      <c r="G107" s="1"/>
      <c r="H107" s="12"/>
      <c r="I107" s="13">
        <f>SUM(BK5,BK8)</f>
        <v>0</v>
      </c>
      <c r="J107" s="13">
        <f t="shared" ref="J107:K107" si="85">SUM(BL5,BL8)</f>
        <v>0</v>
      </c>
      <c r="K107" s="13">
        <f t="shared" si="85"/>
        <v>0</v>
      </c>
      <c r="O107" s="46" t="s">
        <v>134</v>
      </c>
      <c r="P107" s="45" t="s">
        <v>7</v>
      </c>
      <c r="Q107" s="45">
        <v>2</v>
      </c>
      <c r="AD107" s="1"/>
      <c r="AE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R107" s="1"/>
      <c r="AT107" s="1"/>
      <c r="AU107" s="1"/>
      <c r="AV107" s="1"/>
      <c r="AW107" s="1"/>
      <c r="AX107" s="1"/>
      <c r="AY107" s="1"/>
      <c r="BA107" s="1"/>
      <c r="BB107" s="1"/>
      <c r="BC107" s="1"/>
      <c r="BD107" s="1"/>
      <c r="BE107" s="1"/>
      <c r="BG107" s="1"/>
      <c r="BH107" s="1"/>
      <c r="BI107" s="1"/>
      <c r="BK107" s="1"/>
      <c r="BL107" s="1"/>
      <c r="BM107" s="1"/>
      <c r="BO107" s="1"/>
      <c r="BP107" s="1"/>
      <c r="BR107" s="1"/>
    </row>
    <row r="108" spans="2:70" x14ac:dyDescent="0.3">
      <c r="B108" s="6" t="s">
        <v>11</v>
      </c>
      <c r="C108" s="1"/>
      <c r="D108" s="1"/>
      <c r="E108" s="1"/>
      <c r="F108" s="1"/>
      <c r="G108" s="16"/>
      <c r="H108" s="1"/>
      <c r="I108" s="1"/>
      <c r="J108" s="13">
        <f>SUM(BO5,BO8)</f>
        <v>0</v>
      </c>
      <c r="K108" s="13">
        <f>SUM(BP5,BP8)</f>
        <v>0</v>
      </c>
      <c r="O108" s="46" t="s">
        <v>135</v>
      </c>
      <c r="P108" s="45" t="s">
        <v>8</v>
      </c>
      <c r="Q108" s="45">
        <v>0.2</v>
      </c>
      <c r="AD108" s="1"/>
      <c r="AE108" s="1"/>
      <c r="AF108" s="1"/>
      <c r="AG108" s="1"/>
      <c r="AH108" s="1"/>
      <c r="AI108" s="1"/>
      <c r="AJ108" s="1"/>
      <c r="AL108" s="1"/>
      <c r="AM108" s="1"/>
      <c r="AN108" s="1"/>
      <c r="AO108" s="1"/>
      <c r="AP108" s="1"/>
      <c r="AQ108" s="1"/>
      <c r="AR108" s="1"/>
      <c r="AT108" s="1"/>
      <c r="AU108" s="1"/>
      <c r="AV108" s="1"/>
      <c r="AW108" s="1"/>
      <c r="AX108" s="1"/>
      <c r="AY108" s="1"/>
      <c r="BA108" s="1"/>
      <c r="BB108" s="1"/>
      <c r="BC108" s="1"/>
      <c r="BD108" s="1"/>
      <c r="BE108" s="1"/>
      <c r="BG108" s="1"/>
      <c r="BH108" s="1"/>
      <c r="BI108" s="1"/>
      <c r="BK108" s="1"/>
      <c r="BL108" s="1"/>
      <c r="BM108" s="1"/>
      <c r="BO108" s="1"/>
      <c r="BP108" s="1"/>
      <c r="BR108" s="1"/>
    </row>
    <row r="109" spans="2:70" x14ac:dyDescent="0.3">
      <c r="B109" s="6" t="s">
        <v>13</v>
      </c>
      <c r="C109" s="1"/>
      <c r="D109" s="1"/>
      <c r="E109" s="1"/>
      <c r="F109" s="1"/>
      <c r="G109" s="1"/>
      <c r="H109" s="1"/>
      <c r="I109" s="1"/>
      <c r="J109" s="1"/>
      <c r="K109" s="13">
        <f>SUM(BR5,BR8)</f>
        <v>0</v>
      </c>
      <c r="O109" s="46" t="s">
        <v>129</v>
      </c>
      <c r="P109" s="45" t="s">
        <v>9</v>
      </c>
      <c r="Q109" s="45">
        <v>2</v>
      </c>
      <c r="AD109" s="1"/>
      <c r="AE109" s="1"/>
      <c r="AF109" s="1"/>
      <c r="AG109" s="1"/>
      <c r="AH109" s="1"/>
      <c r="AI109" s="1"/>
      <c r="AJ109" s="1"/>
      <c r="AL109" s="1"/>
      <c r="AM109" s="1"/>
      <c r="AN109" s="1"/>
      <c r="AO109" s="1"/>
      <c r="AP109" s="1"/>
      <c r="AQ109" s="1"/>
      <c r="AR109" s="1"/>
      <c r="AT109" s="1"/>
      <c r="AU109" s="1"/>
      <c r="AV109" s="1"/>
      <c r="AW109" s="1"/>
      <c r="AX109" s="1"/>
      <c r="AY109" s="1"/>
      <c r="BA109" s="1"/>
      <c r="BB109" s="1"/>
      <c r="BC109" s="1"/>
      <c r="BD109" s="1"/>
      <c r="BE109" s="1"/>
      <c r="BG109" s="1"/>
      <c r="BH109" s="1"/>
      <c r="BI109" s="1"/>
      <c r="BK109" s="1"/>
      <c r="BL109" s="1"/>
      <c r="BM109" s="1"/>
      <c r="BO109" s="1"/>
      <c r="BP109" s="1"/>
      <c r="BR109" s="1"/>
    </row>
    <row r="110" spans="2:70" x14ac:dyDescent="0.3">
      <c r="B110" s="6" t="s">
        <v>15</v>
      </c>
      <c r="C110" s="1"/>
      <c r="D110" s="1"/>
      <c r="E110" s="1"/>
      <c r="F110" s="1"/>
      <c r="G110" s="1"/>
      <c r="H110" s="1"/>
      <c r="I110" s="1"/>
      <c r="J110" s="1"/>
      <c r="K110" s="1"/>
      <c r="O110" s="46" t="s">
        <v>136</v>
      </c>
      <c r="P110" s="45" t="s">
        <v>10</v>
      </c>
      <c r="Q110" s="45">
        <v>1.34</v>
      </c>
      <c r="AD110" s="1"/>
      <c r="AE110" s="1"/>
      <c r="AF110" s="1"/>
      <c r="AG110" s="1"/>
      <c r="AH110" s="1"/>
      <c r="AI110" s="1"/>
      <c r="AJ110" s="1"/>
      <c r="AL110" s="1"/>
      <c r="AM110" s="1"/>
      <c r="AN110" s="1"/>
      <c r="AO110" s="1"/>
      <c r="AP110" s="1"/>
      <c r="AQ110" s="1"/>
      <c r="AR110" s="1"/>
      <c r="AT110" s="1"/>
      <c r="AU110" s="1"/>
      <c r="AV110" s="1"/>
      <c r="AW110" s="1"/>
      <c r="AX110" s="1"/>
      <c r="AY110" s="1"/>
      <c r="BA110" s="1"/>
      <c r="BB110" s="1"/>
      <c r="BC110" s="1"/>
      <c r="BD110" s="1"/>
      <c r="BE110" s="1"/>
      <c r="BG110" s="1"/>
      <c r="BH110" s="1"/>
      <c r="BI110" s="1"/>
      <c r="BK110" s="1"/>
      <c r="BL110" s="1"/>
      <c r="BM110" s="1"/>
      <c r="BO110" s="1"/>
      <c r="BP110" s="1"/>
      <c r="BR110" s="1"/>
    </row>
    <row r="111" spans="2:70" x14ac:dyDescent="0.3">
      <c r="O111" s="46" t="s">
        <v>131</v>
      </c>
      <c r="P111" s="45" t="s">
        <v>11</v>
      </c>
      <c r="Q111" s="45">
        <v>0.12</v>
      </c>
      <c r="AD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R111" s="1"/>
      <c r="AT111" s="1"/>
      <c r="AU111" s="1"/>
      <c r="AV111" s="1"/>
      <c r="AW111" s="1"/>
      <c r="AX111" s="1"/>
      <c r="AY111" s="1"/>
      <c r="BA111" s="1"/>
      <c r="BB111" s="1"/>
      <c r="BC111" s="1"/>
      <c r="BD111" s="1"/>
      <c r="BE111" s="1"/>
      <c r="BG111" s="1"/>
      <c r="BH111" s="1"/>
      <c r="BI111" s="1"/>
      <c r="BK111" s="1"/>
      <c r="BL111" s="1"/>
      <c r="BM111" s="1"/>
      <c r="BO111" s="1"/>
      <c r="BP111" s="1"/>
      <c r="BR111" s="1"/>
    </row>
    <row r="112" spans="2:70" x14ac:dyDescent="0.3">
      <c r="O112" s="48" t="s">
        <v>137</v>
      </c>
      <c r="P112" s="45" t="s">
        <v>12</v>
      </c>
      <c r="Q112" s="45">
        <v>0.77</v>
      </c>
      <c r="AD112" s="1"/>
      <c r="AE112" s="1"/>
      <c r="AF112" s="1"/>
      <c r="AG112" s="1"/>
      <c r="AH112" s="1"/>
      <c r="AI112" s="1"/>
      <c r="AJ112" s="1"/>
      <c r="AL112" s="1"/>
      <c r="AM112" s="1"/>
      <c r="AN112" s="1"/>
      <c r="AO112" s="1"/>
      <c r="AP112" s="1"/>
      <c r="AQ112" s="1"/>
      <c r="AR112" s="1"/>
      <c r="AT112" s="1"/>
      <c r="AU112" s="1"/>
      <c r="AV112" s="1"/>
      <c r="AW112" s="1"/>
      <c r="AX112" s="1"/>
      <c r="AY112" s="1"/>
      <c r="BA112" s="1"/>
      <c r="BB112" s="1"/>
      <c r="BC112" s="1"/>
      <c r="BD112" s="1"/>
      <c r="BE112" s="1"/>
      <c r="BG112" s="1"/>
      <c r="BH112" s="1"/>
      <c r="BI112" s="1"/>
      <c r="BK112" s="1"/>
      <c r="BL112" s="1"/>
      <c r="BM112" s="1"/>
      <c r="BO112" s="1"/>
      <c r="BP112" s="1"/>
      <c r="BR112" s="1"/>
    </row>
    <row r="113" spans="15:70" x14ac:dyDescent="0.3">
      <c r="O113" s="46" t="s">
        <v>133</v>
      </c>
      <c r="P113" s="45" t="s">
        <v>13</v>
      </c>
      <c r="Q113" s="45">
        <v>0.12</v>
      </c>
      <c r="AD113" s="1"/>
      <c r="AE113" s="1"/>
      <c r="AF113" s="1"/>
      <c r="AG113" s="1"/>
      <c r="AH113" s="1"/>
      <c r="AI113" s="1"/>
      <c r="AJ113" s="1"/>
      <c r="AL113" s="1"/>
      <c r="AM113" s="1"/>
      <c r="AN113" s="1"/>
      <c r="AO113" s="1"/>
      <c r="AP113" s="1"/>
      <c r="AQ113" s="1"/>
      <c r="AR113" s="1"/>
      <c r="AT113" s="1"/>
      <c r="AU113" s="1"/>
      <c r="AV113" s="1"/>
      <c r="AW113" s="1"/>
      <c r="AX113" s="1"/>
      <c r="AY113" s="1"/>
      <c r="BA113" s="1"/>
      <c r="BB113" s="1"/>
      <c r="BC113" s="1"/>
      <c r="BD113" s="1"/>
      <c r="BE113" s="1"/>
      <c r="BG113" s="1"/>
      <c r="BH113" s="1"/>
      <c r="BI113" s="1"/>
      <c r="BK113" s="1"/>
      <c r="BL113" s="1"/>
      <c r="BM113" s="1"/>
      <c r="BO113" s="1"/>
      <c r="BP113" s="1"/>
      <c r="BR113" s="1"/>
    </row>
    <row r="114" spans="15:70" x14ac:dyDescent="0.3">
      <c r="O114" s="46" t="s">
        <v>134</v>
      </c>
      <c r="P114" s="45" t="s">
        <v>14</v>
      </c>
      <c r="Q114" s="45">
        <v>2</v>
      </c>
      <c r="AD114" s="1"/>
      <c r="AE114" s="1"/>
      <c r="AF114" s="1"/>
      <c r="AG114" s="1"/>
      <c r="AH114" s="1"/>
      <c r="AI114" s="1"/>
      <c r="AJ114" s="1"/>
      <c r="AL114" s="1"/>
      <c r="AM114" s="1"/>
      <c r="AN114" s="1"/>
      <c r="AO114" s="1"/>
      <c r="AP114" s="1"/>
      <c r="AQ114" s="1"/>
      <c r="AR114" s="1"/>
      <c r="AT114" s="1"/>
      <c r="AU114" s="1"/>
      <c r="AV114" s="1"/>
      <c r="AW114" s="1"/>
      <c r="AX114" s="1"/>
      <c r="AY114" s="1"/>
      <c r="BA114" s="1"/>
      <c r="BB114" s="1"/>
      <c r="BC114" s="1"/>
      <c r="BD114" s="1"/>
      <c r="BE114" s="1"/>
      <c r="BG114" s="1"/>
      <c r="BH114" s="1"/>
      <c r="BI114" s="1"/>
      <c r="BK114" s="1"/>
      <c r="BL114" s="1"/>
      <c r="BM114" s="1"/>
      <c r="BO114" s="1"/>
      <c r="BP114" s="1"/>
      <c r="BR114" s="1"/>
    </row>
    <row r="115" spans="15:70" x14ac:dyDescent="0.3">
      <c r="O115" s="46" t="s">
        <v>129</v>
      </c>
      <c r="P115" s="45" t="s">
        <v>15</v>
      </c>
      <c r="Q115" s="45">
        <v>2.25</v>
      </c>
      <c r="AD115" s="1"/>
      <c r="AE115" s="1"/>
      <c r="AF115" s="1"/>
      <c r="AG115" s="1"/>
      <c r="AH115" s="1"/>
      <c r="AI115" s="1"/>
      <c r="AJ115" s="1"/>
      <c r="AL115" s="1"/>
      <c r="AM115" s="1"/>
      <c r="AN115" s="1"/>
      <c r="AO115" s="1"/>
      <c r="AP115" s="1"/>
      <c r="AQ115" s="1"/>
      <c r="AR115" s="1"/>
      <c r="AT115" s="1"/>
      <c r="AU115" s="1"/>
      <c r="AV115" s="1"/>
      <c r="AW115" s="1"/>
      <c r="AX115" s="1"/>
      <c r="AY115" s="1"/>
      <c r="BA115" s="1"/>
      <c r="BB115" s="1"/>
      <c r="BC115" s="1"/>
      <c r="BD115" s="1"/>
      <c r="BE115" s="1"/>
      <c r="BG115" s="1"/>
      <c r="BH115" s="1"/>
      <c r="BI115" s="1"/>
      <c r="BK115" s="1"/>
      <c r="BL115" s="1"/>
      <c r="BM115" s="1"/>
      <c r="BO115" s="1"/>
      <c r="BP115" s="1"/>
      <c r="BR115" s="1"/>
    </row>
    <row r="116" spans="15:70" x14ac:dyDescent="0.3">
      <c r="AD116" s="1"/>
      <c r="AE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R116" s="1"/>
      <c r="AT116" s="1"/>
      <c r="AU116" s="1"/>
      <c r="AV116" s="1"/>
      <c r="AW116" s="1"/>
      <c r="AX116" s="1"/>
      <c r="AY116" s="1"/>
      <c r="BA116" s="1"/>
      <c r="BB116" s="1"/>
      <c r="BC116" s="1"/>
      <c r="BD116" s="1"/>
      <c r="BE116" s="1"/>
      <c r="BG116" s="1"/>
      <c r="BH116" s="1"/>
      <c r="BI116" s="1"/>
      <c r="BK116" s="1"/>
      <c r="BL116" s="1"/>
      <c r="BM116" s="1"/>
      <c r="BO116" s="1"/>
      <c r="BP116" s="1"/>
      <c r="BR116" s="1"/>
    </row>
    <row r="117" spans="15:70" x14ac:dyDescent="0.3">
      <c r="AD117" s="1"/>
      <c r="AE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R117" s="1"/>
      <c r="AT117" s="1"/>
      <c r="AU117" s="1"/>
      <c r="AV117" s="1"/>
      <c r="AW117" s="1"/>
      <c r="AX117" s="1"/>
      <c r="AY117" s="1"/>
      <c r="BA117" s="1"/>
      <c r="BB117" s="1"/>
      <c r="BC117" s="1"/>
      <c r="BD117" s="1"/>
      <c r="BE117" s="1"/>
      <c r="BG117" s="1"/>
      <c r="BH117" s="1"/>
      <c r="BI117" s="1"/>
      <c r="BK117" s="1"/>
      <c r="BL117" s="1"/>
      <c r="BM117" s="1"/>
      <c r="BO117" s="1"/>
      <c r="BP117" s="1"/>
      <c r="BR117" s="1"/>
    </row>
    <row r="118" spans="15:70" x14ac:dyDescent="0.3">
      <c r="AD118" s="1"/>
      <c r="AE118" s="1"/>
      <c r="AF118" s="1"/>
      <c r="AG118" s="1"/>
      <c r="AH118" s="1"/>
      <c r="AI118" s="1"/>
      <c r="AJ118" s="1"/>
      <c r="AL118" s="1"/>
      <c r="AM118" s="1"/>
      <c r="AN118" s="1"/>
      <c r="AO118" s="1"/>
      <c r="AP118" s="1"/>
      <c r="AQ118" s="1"/>
      <c r="AR118" s="1"/>
      <c r="AT118" s="1"/>
      <c r="AU118" s="1"/>
      <c r="AV118" s="1"/>
      <c r="AW118" s="1"/>
      <c r="AX118" s="1"/>
      <c r="AY118" s="1"/>
      <c r="BA118" s="1"/>
      <c r="BB118" s="1"/>
      <c r="BC118" s="1"/>
      <c r="BD118" s="1"/>
      <c r="BE118" s="1"/>
      <c r="BG118" s="1"/>
      <c r="BH118" s="1"/>
      <c r="BI118" s="1"/>
      <c r="BK118" s="1"/>
      <c r="BL118" s="1"/>
      <c r="BM118" s="1"/>
      <c r="BO118" s="1"/>
      <c r="BP118" s="1"/>
      <c r="BR118" s="1"/>
    </row>
    <row r="119" spans="15:70" x14ac:dyDescent="0.3">
      <c r="AD119" s="1"/>
      <c r="AE119" s="1"/>
      <c r="AF119" s="1"/>
      <c r="AG119" s="1"/>
      <c r="AH119" s="1"/>
      <c r="AI119" s="1"/>
      <c r="AJ119" s="1"/>
      <c r="AL119" s="1"/>
      <c r="AM119" s="1"/>
      <c r="AN119" s="1"/>
      <c r="AO119" s="1"/>
      <c r="AP119" s="1"/>
      <c r="AQ119" s="1"/>
      <c r="AR119" s="1"/>
      <c r="AT119" s="1"/>
      <c r="AU119" s="1"/>
      <c r="AV119" s="1"/>
      <c r="AW119" s="1"/>
      <c r="AX119" s="1"/>
      <c r="AY119" s="1"/>
      <c r="BA119" s="1"/>
      <c r="BB119" s="1"/>
      <c r="BC119" s="1"/>
      <c r="BD119" s="1"/>
      <c r="BE119" s="1"/>
      <c r="BG119" s="1"/>
      <c r="BH119" s="1"/>
      <c r="BI119" s="1"/>
      <c r="BK119" s="1"/>
      <c r="BL119" s="1"/>
      <c r="BM119" s="1"/>
      <c r="BO119" s="1"/>
      <c r="BP119" s="1"/>
      <c r="BR119" s="1"/>
    </row>
    <row r="120" spans="15:70" x14ac:dyDescent="0.3">
      <c r="AD120" s="1"/>
      <c r="AE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R120" s="1"/>
      <c r="AT120" s="1"/>
      <c r="AU120" s="1"/>
      <c r="AV120" s="1"/>
      <c r="AW120" s="1"/>
      <c r="AX120" s="1"/>
      <c r="AY120" s="1"/>
      <c r="BA120" s="1"/>
      <c r="BB120" s="1"/>
      <c r="BC120" s="1"/>
      <c r="BD120" s="1"/>
      <c r="BE120" s="1"/>
      <c r="BG120" s="1"/>
      <c r="BH120" s="1"/>
      <c r="BI120" s="1"/>
      <c r="BK120" s="1"/>
      <c r="BL120" s="1"/>
      <c r="BM120" s="1"/>
      <c r="BO120" s="1"/>
      <c r="BP120" s="1"/>
      <c r="BR120" s="1"/>
    </row>
    <row r="121" spans="15:70" x14ac:dyDescent="0.3">
      <c r="AD121" s="1"/>
      <c r="AE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R121" s="1"/>
      <c r="AT121" s="1"/>
      <c r="AU121" s="1"/>
      <c r="AV121" s="1"/>
      <c r="AW121" s="1"/>
      <c r="AX121" s="1"/>
      <c r="AY121" s="1"/>
      <c r="BA121" s="1"/>
      <c r="BB121" s="1"/>
      <c r="BC121" s="1"/>
      <c r="BD121" s="1"/>
      <c r="BE121" s="1"/>
      <c r="BG121" s="1"/>
      <c r="BH121" s="1"/>
      <c r="BI121" s="1"/>
      <c r="BK121" s="1"/>
      <c r="BL121" s="1"/>
      <c r="BM121" s="1"/>
      <c r="BO121" s="1"/>
      <c r="BP121" s="1"/>
      <c r="BR121" s="1"/>
    </row>
    <row r="122" spans="15:70" x14ac:dyDescent="0.3">
      <c r="AD122" s="1"/>
      <c r="AE122" s="1"/>
      <c r="AF122" s="1"/>
      <c r="AG122" s="1"/>
      <c r="AH122" s="1"/>
      <c r="AI122" s="1"/>
      <c r="AJ122" s="1"/>
      <c r="AL122" s="1"/>
      <c r="AM122" s="1"/>
      <c r="AN122" s="1"/>
      <c r="AO122" s="1"/>
      <c r="AP122" s="1"/>
      <c r="AQ122" s="1"/>
      <c r="AR122" s="1"/>
      <c r="AT122" s="1"/>
      <c r="AU122" s="1"/>
      <c r="AV122" s="1"/>
      <c r="AW122" s="1"/>
      <c r="AX122" s="1"/>
      <c r="AY122" s="1"/>
      <c r="BA122" s="1"/>
      <c r="BB122" s="1"/>
      <c r="BC122" s="1"/>
      <c r="BD122" s="1"/>
      <c r="BE122" s="1"/>
      <c r="BG122" s="1"/>
      <c r="BH122" s="1"/>
      <c r="BI122" s="1"/>
      <c r="BK122" s="1"/>
      <c r="BL122" s="1"/>
      <c r="BM122" s="1"/>
      <c r="BO122" s="1"/>
      <c r="BP122" s="1"/>
      <c r="BR122" s="1"/>
    </row>
    <row r="123" spans="15:70" x14ac:dyDescent="0.3">
      <c r="AD123" s="1"/>
      <c r="AE123" s="1"/>
      <c r="AF123" s="1"/>
      <c r="AG123" s="1"/>
      <c r="AH123" s="1"/>
      <c r="AI123" s="1"/>
      <c r="AJ123" s="1"/>
      <c r="AL123" s="1"/>
      <c r="AM123" s="1"/>
      <c r="AN123" s="1"/>
      <c r="AO123" s="1"/>
      <c r="AP123" s="1"/>
      <c r="AQ123" s="1"/>
      <c r="AR123" s="1"/>
      <c r="AT123" s="1"/>
      <c r="AU123" s="1"/>
      <c r="AV123" s="1"/>
      <c r="AW123" s="1"/>
      <c r="AX123" s="1"/>
      <c r="AY123" s="1"/>
      <c r="BA123" s="1"/>
      <c r="BB123" s="1"/>
      <c r="BC123" s="1"/>
      <c r="BD123" s="1"/>
      <c r="BE123" s="1"/>
      <c r="BG123" s="1"/>
      <c r="BH123" s="1"/>
      <c r="BI123" s="1"/>
      <c r="BK123" s="1"/>
      <c r="BL123" s="1"/>
      <c r="BM123" s="1"/>
      <c r="BO123" s="1"/>
      <c r="BP123" s="1"/>
      <c r="BR123" s="1"/>
    </row>
    <row r="124" spans="15:70" x14ac:dyDescent="0.3">
      <c r="AD124" s="1"/>
      <c r="AE124" s="1"/>
      <c r="AF124" s="1"/>
      <c r="AG124" s="1"/>
      <c r="AH124" s="1"/>
      <c r="AI124" s="1"/>
      <c r="AJ124" s="1"/>
      <c r="AL124" s="1"/>
      <c r="AM124" s="1"/>
      <c r="AN124" s="1"/>
      <c r="AO124" s="1"/>
      <c r="AP124" s="1"/>
      <c r="AQ124" s="1"/>
      <c r="AR124" s="1"/>
      <c r="AT124" s="1"/>
      <c r="AU124" s="1"/>
      <c r="AV124" s="1"/>
      <c r="AW124" s="1"/>
      <c r="AX124" s="1"/>
      <c r="AY124" s="1"/>
      <c r="BA124" s="1"/>
      <c r="BB124" s="1"/>
      <c r="BC124" s="1"/>
      <c r="BD124" s="1"/>
      <c r="BE124" s="1"/>
      <c r="BG124" s="1"/>
      <c r="BH124" s="1"/>
      <c r="BI124" s="1"/>
      <c r="BK124" s="1"/>
      <c r="BL124" s="1"/>
      <c r="BM124" s="1"/>
      <c r="BO124" s="1"/>
      <c r="BP124" s="1"/>
      <c r="BR124" s="1"/>
    </row>
    <row r="125" spans="15:70" x14ac:dyDescent="0.3">
      <c r="AD125" s="1"/>
      <c r="AE125" s="1"/>
      <c r="AF125" s="1"/>
      <c r="AG125" s="1"/>
      <c r="AH125" s="1"/>
      <c r="AI125" s="1"/>
      <c r="AJ125" s="1"/>
      <c r="AL125" s="1"/>
      <c r="AM125" s="1"/>
      <c r="AN125" s="1"/>
      <c r="AO125" s="1"/>
      <c r="AP125" s="1"/>
      <c r="AQ125" s="1"/>
      <c r="AR125" s="1"/>
      <c r="AT125" s="1"/>
      <c r="AU125" s="1"/>
      <c r="AV125" s="1"/>
      <c r="AW125" s="1"/>
      <c r="AX125" s="1"/>
      <c r="AY125" s="1"/>
      <c r="BA125" s="1"/>
      <c r="BB125" s="1"/>
      <c r="BC125" s="1"/>
      <c r="BD125" s="1"/>
      <c r="BE125" s="1"/>
      <c r="BG125" s="1"/>
      <c r="BH125" s="1"/>
      <c r="BI125" s="1"/>
      <c r="BK125" s="1"/>
      <c r="BL125" s="1"/>
      <c r="BM125" s="1"/>
      <c r="BO125" s="1"/>
      <c r="BP125" s="1"/>
      <c r="BR125" s="1"/>
    </row>
    <row r="126" spans="15:70" x14ac:dyDescent="0.3">
      <c r="AD126" s="1"/>
      <c r="AE126" s="1"/>
      <c r="AF126" s="1"/>
      <c r="AG126" s="1"/>
      <c r="AH126" s="1"/>
      <c r="AI126" s="1"/>
      <c r="AJ126" s="1"/>
      <c r="AL126" s="1"/>
      <c r="AM126" s="1"/>
      <c r="AN126" s="1"/>
      <c r="AO126" s="1"/>
      <c r="AP126" s="1"/>
      <c r="AQ126" s="1"/>
      <c r="AR126" s="1"/>
      <c r="AT126" s="1"/>
      <c r="AU126" s="1"/>
      <c r="AV126" s="1"/>
      <c r="AW126" s="1"/>
      <c r="AX126" s="1"/>
      <c r="AY126" s="1"/>
      <c r="BA126" s="1"/>
      <c r="BB126" s="1"/>
      <c r="BC126" s="1"/>
      <c r="BD126" s="1"/>
      <c r="BE126" s="1"/>
      <c r="BG126" s="1"/>
      <c r="BH126" s="1"/>
      <c r="BI126" s="1"/>
      <c r="BK126" s="1"/>
      <c r="BL126" s="1"/>
      <c r="BM126" s="1"/>
      <c r="BO126" s="1"/>
      <c r="BP126" s="1"/>
      <c r="BR126" s="1"/>
    </row>
    <row r="127" spans="15:70" x14ac:dyDescent="0.3">
      <c r="AD127" s="1"/>
      <c r="AE127" s="1"/>
      <c r="AF127" s="1"/>
      <c r="AG127" s="1"/>
      <c r="AH127" s="1"/>
      <c r="AI127" s="1"/>
      <c r="AJ127" s="1"/>
      <c r="AL127" s="1"/>
      <c r="AM127" s="1"/>
      <c r="AN127" s="1"/>
      <c r="AO127" s="1"/>
      <c r="AP127" s="1"/>
      <c r="AQ127" s="1"/>
      <c r="AR127" s="1"/>
      <c r="AT127" s="1"/>
      <c r="AU127" s="1"/>
      <c r="AV127" s="1"/>
      <c r="AW127" s="1"/>
      <c r="AX127" s="1"/>
      <c r="AY127" s="1"/>
      <c r="BA127" s="1"/>
      <c r="BB127" s="1"/>
      <c r="BC127" s="1"/>
      <c r="BD127" s="1"/>
      <c r="BE127" s="1"/>
      <c r="BG127" s="1"/>
      <c r="BH127" s="1"/>
      <c r="BI127" s="1"/>
      <c r="BK127" s="1"/>
      <c r="BL127" s="1"/>
      <c r="BM127" s="1"/>
      <c r="BO127" s="1"/>
      <c r="BP127" s="1"/>
      <c r="BR127" s="1"/>
    </row>
    <row r="128" spans="15:70" x14ac:dyDescent="0.3">
      <c r="AD128" s="1"/>
      <c r="AE128" s="1"/>
      <c r="AF128" s="1"/>
      <c r="AG128" s="1"/>
      <c r="AH128" s="1"/>
      <c r="AI128" s="1"/>
      <c r="AJ128" s="1"/>
      <c r="AL128" s="1"/>
      <c r="AM128" s="1"/>
      <c r="AN128" s="1"/>
      <c r="AO128" s="1"/>
      <c r="AP128" s="1"/>
      <c r="AQ128" s="1"/>
      <c r="AR128" s="1"/>
      <c r="AT128" s="1"/>
      <c r="AU128" s="1"/>
      <c r="AV128" s="1"/>
      <c r="AW128" s="1"/>
      <c r="AX128" s="1"/>
      <c r="AY128" s="1"/>
      <c r="BA128" s="1"/>
      <c r="BB128" s="1"/>
      <c r="BC128" s="1"/>
      <c r="BD128" s="1"/>
      <c r="BE128" s="1"/>
      <c r="BG128" s="1"/>
      <c r="BH128" s="1"/>
      <c r="BI128" s="1"/>
      <c r="BK128" s="1"/>
      <c r="BL128" s="1"/>
      <c r="BM128" s="1"/>
      <c r="BO128" s="1"/>
      <c r="BP128" s="1"/>
      <c r="BR128" s="1"/>
    </row>
    <row r="129" spans="28:70" x14ac:dyDescent="0.3">
      <c r="AB129" s="20" t="s">
        <v>15</v>
      </c>
      <c r="AD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R129" s="1"/>
      <c r="AT129" s="1"/>
      <c r="AU129" s="1"/>
      <c r="AV129" s="1"/>
      <c r="AW129" s="1"/>
      <c r="AX129" s="1"/>
      <c r="AY129" s="1"/>
      <c r="BA129" s="1"/>
      <c r="BB129" s="1"/>
      <c r="BC129" s="1"/>
      <c r="BD129" s="1"/>
      <c r="BE129" s="1"/>
      <c r="BG129" s="1"/>
      <c r="BH129" s="1"/>
      <c r="BI129" s="1"/>
      <c r="BK129" s="1"/>
      <c r="BL129" s="1"/>
      <c r="BM129" s="1"/>
      <c r="BO129" s="1"/>
      <c r="BP129" s="1"/>
      <c r="BR129" s="1"/>
    </row>
    <row r="130" spans="28:70" x14ac:dyDescent="0.3">
      <c r="AB130" s="12"/>
      <c r="AD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R130" s="1"/>
      <c r="AT130" s="1"/>
      <c r="AU130" s="1"/>
      <c r="AV130" s="1"/>
      <c r="AW130" s="1"/>
      <c r="AX130" s="1"/>
      <c r="AY130" s="1"/>
      <c r="BA130" s="1"/>
      <c r="BB130" s="1"/>
      <c r="BC130" s="1"/>
      <c r="BD130" s="1"/>
      <c r="BE130" s="1"/>
      <c r="BG130" s="1"/>
      <c r="BH130" s="1"/>
      <c r="BI130" s="1"/>
      <c r="BK130" s="1"/>
      <c r="BL130" s="1"/>
      <c r="BM130" s="1"/>
      <c r="BO130" s="1"/>
      <c r="BP130" s="1"/>
      <c r="BR130" s="1"/>
    </row>
    <row r="131" spans="28:70" x14ac:dyDescent="0.3">
      <c r="AB131" s="12"/>
      <c r="AD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R131" s="1"/>
      <c r="AT131" s="1"/>
      <c r="AU131" s="1"/>
      <c r="AV131" s="1"/>
      <c r="AW131" s="1"/>
      <c r="AX131" s="1"/>
      <c r="AY131" s="1"/>
      <c r="BA131" s="1"/>
      <c r="BB131" s="1"/>
      <c r="BC131" s="1"/>
      <c r="BD131" s="1"/>
      <c r="BE131" s="1"/>
      <c r="BG131" s="1"/>
      <c r="BH131" s="1"/>
      <c r="BI131" s="1"/>
      <c r="BK131" s="1"/>
      <c r="BL131" s="1"/>
      <c r="BM131" s="1"/>
      <c r="BO131" s="1"/>
      <c r="BP131" s="1"/>
      <c r="BR131" s="1"/>
    </row>
    <row r="132" spans="28:70" x14ac:dyDescent="0.3">
      <c r="AB132" s="12"/>
      <c r="AD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R132" s="1"/>
      <c r="AT132" s="1"/>
      <c r="AU132" s="1"/>
      <c r="AV132" s="1"/>
      <c r="AW132" s="1"/>
      <c r="AX132" s="1"/>
      <c r="AY132" s="1"/>
      <c r="BA132" s="1"/>
      <c r="BB132" s="1"/>
      <c r="BC132" s="1"/>
      <c r="BD132" s="1"/>
      <c r="BE132" s="1"/>
      <c r="BG132" s="1"/>
      <c r="BH132" s="1"/>
      <c r="BI132" s="1"/>
      <c r="BK132" s="1"/>
      <c r="BL132" s="1"/>
      <c r="BM132" s="1"/>
      <c r="BO132" s="1"/>
      <c r="BP132" s="1"/>
      <c r="BR132" s="1"/>
    </row>
    <row r="133" spans="28:70" x14ac:dyDescent="0.3">
      <c r="AB133" s="12"/>
      <c r="AD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R133" s="1"/>
      <c r="AT133" s="1"/>
      <c r="AU133" s="1"/>
      <c r="AV133" s="1"/>
      <c r="AW133" s="1"/>
      <c r="AX133" s="1"/>
      <c r="AY133" s="1"/>
      <c r="BA133" s="1"/>
      <c r="BB133" s="1"/>
      <c r="BC133" s="1"/>
      <c r="BD133" s="1"/>
      <c r="BE133" s="1"/>
      <c r="BG133" s="1"/>
      <c r="BH133" s="1"/>
      <c r="BI133" s="1"/>
      <c r="BK133" s="1"/>
      <c r="BL133" s="1"/>
      <c r="BM133" s="1"/>
      <c r="BO133" s="1"/>
      <c r="BP133" s="1"/>
      <c r="BR133" s="1"/>
    </row>
    <row r="134" spans="28:70" x14ac:dyDescent="0.3">
      <c r="AB134" s="12"/>
      <c r="AD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R134" s="1"/>
      <c r="AT134" s="1"/>
      <c r="AU134" s="1"/>
      <c r="AV134" s="1"/>
      <c r="AW134" s="1"/>
      <c r="AX134" s="1"/>
      <c r="AY134" s="1"/>
      <c r="BA134" s="1"/>
      <c r="BB134" s="1"/>
      <c r="BC134" s="1"/>
      <c r="BD134" s="1"/>
      <c r="BE134" s="1"/>
      <c r="BG134" s="1"/>
      <c r="BH134" s="1"/>
      <c r="BI134" s="1"/>
      <c r="BK134" s="1"/>
      <c r="BL134" s="1"/>
      <c r="BM134" s="1"/>
      <c r="BO134" s="1"/>
      <c r="BP134" s="1"/>
      <c r="BR134" s="1"/>
    </row>
    <row r="135" spans="28:70" x14ac:dyDescent="0.3">
      <c r="AB135" s="12"/>
      <c r="AD135" s="1"/>
      <c r="AE135" s="1"/>
      <c r="AF135" s="1"/>
      <c r="AG135" s="1"/>
      <c r="AH135" s="1"/>
      <c r="AI135" s="1"/>
      <c r="AJ135" s="1"/>
      <c r="AL135" s="1"/>
      <c r="AM135" s="1"/>
      <c r="AN135" s="1"/>
      <c r="AO135" s="1"/>
      <c r="AP135" s="1"/>
      <c r="AQ135" s="1"/>
      <c r="AR135" s="1"/>
      <c r="AT135" s="1"/>
      <c r="AU135" s="1"/>
      <c r="AV135" s="1"/>
      <c r="AW135" s="1"/>
      <c r="AX135" s="1"/>
      <c r="AY135" s="1"/>
      <c r="BA135" s="1"/>
      <c r="BB135" s="1"/>
      <c r="BC135" s="1"/>
      <c r="BD135" s="1"/>
      <c r="BE135" s="1"/>
      <c r="BG135" s="1"/>
      <c r="BH135" s="1"/>
      <c r="BI135" s="1"/>
      <c r="BK135" s="1"/>
      <c r="BL135" s="1"/>
      <c r="BM135" s="1"/>
      <c r="BO135" s="1"/>
      <c r="BP135" s="1"/>
      <c r="BR135" s="1"/>
    </row>
    <row r="136" spans="28:70" x14ac:dyDescent="0.3">
      <c r="AD136" s="1"/>
      <c r="AE136" s="1"/>
      <c r="AF136" s="1"/>
      <c r="AG136" s="1"/>
      <c r="AH136" s="1"/>
      <c r="AI136" s="1"/>
      <c r="AJ136" s="1"/>
      <c r="AL136" s="1"/>
      <c r="AM136" s="1"/>
      <c r="AN136" s="1"/>
      <c r="AO136" s="1"/>
      <c r="AP136" s="1"/>
      <c r="AQ136" s="1"/>
      <c r="AR136" s="1"/>
      <c r="AT136" s="1"/>
      <c r="AU136" s="1"/>
      <c r="AV136" s="1"/>
      <c r="AW136" s="1"/>
      <c r="AX136" s="1"/>
      <c r="AY136" s="1"/>
      <c r="BA136" s="1"/>
      <c r="BB136" s="1"/>
      <c r="BC136" s="1"/>
      <c r="BD136" s="1"/>
      <c r="BE136" s="1"/>
      <c r="BG136" s="1"/>
      <c r="BH136" s="1"/>
      <c r="BI136" s="1"/>
      <c r="BK136" s="1"/>
      <c r="BL136" s="1"/>
      <c r="BM136" s="1"/>
      <c r="BO136" s="1"/>
      <c r="BP136" s="1"/>
      <c r="BR136" s="1"/>
    </row>
    <row r="137" spans="28:70" x14ac:dyDescent="0.3">
      <c r="AD137" s="1"/>
      <c r="AE137" s="1"/>
      <c r="AF137" s="1"/>
      <c r="AG137" s="1"/>
      <c r="AH137" s="1"/>
      <c r="AI137" s="1"/>
      <c r="AJ137" s="1"/>
      <c r="AL137" s="1"/>
      <c r="AM137" s="1"/>
      <c r="AN137" s="1"/>
      <c r="AO137" s="1"/>
      <c r="AP137" s="1"/>
      <c r="AQ137" s="1"/>
      <c r="AR137" s="1"/>
      <c r="AT137" s="1"/>
      <c r="AU137" s="1"/>
      <c r="AV137" s="1"/>
      <c r="AW137" s="1"/>
      <c r="AX137" s="1"/>
      <c r="AY137" s="1"/>
      <c r="BA137" s="1"/>
      <c r="BB137" s="1"/>
      <c r="BC137" s="1"/>
      <c r="BD137" s="1"/>
      <c r="BE137" s="1"/>
      <c r="BG137" s="1"/>
      <c r="BH137" s="1"/>
      <c r="BI137" s="1"/>
      <c r="BK137" s="1"/>
      <c r="BL137" s="1"/>
      <c r="BM137" s="1"/>
      <c r="BO137" s="1"/>
      <c r="BP137" s="1"/>
      <c r="BR137" s="1"/>
    </row>
    <row r="138" spans="28:70" x14ac:dyDescent="0.3">
      <c r="AD138" s="1"/>
      <c r="AE138" s="1"/>
      <c r="AF138" s="1"/>
      <c r="AG138" s="1"/>
      <c r="AH138" s="1"/>
      <c r="AI138" s="1"/>
      <c r="AJ138" s="1"/>
      <c r="AL138" s="1"/>
      <c r="AM138" s="1"/>
      <c r="AN138" s="1"/>
      <c r="AO138" s="1"/>
      <c r="AP138" s="1"/>
      <c r="AQ138" s="1"/>
      <c r="AR138" s="1"/>
      <c r="AT138" s="1"/>
      <c r="AU138" s="1"/>
      <c r="AV138" s="1"/>
      <c r="AW138" s="1"/>
      <c r="AX138" s="1"/>
      <c r="AY138" s="1"/>
      <c r="BA138" s="1"/>
      <c r="BB138" s="1"/>
      <c r="BC138" s="1"/>
      <c r="BD138" s="1"/>
      <c r="BE138" s="1"/>
      <c r="BG138" s="1"/>
      <c r="BH138" s="1"/>
      <c r="BI138" s="1"/>
      <c r="BK138" s="1"/>
      <c r="BL138" s="1"/>
      <c r="BM138" s="1"/>
      <c r="BO138" s="1"/>
      <c r="BP138" s="1"/>
      <c r="BR138" s="1"/>
    </row>
    <row r="139" spans="28:70" x14ac:dyDescent="0.3">
      <c r="AD139" s="1"/>
      <c r="AE139" s="1"/>
      <c r="AF139" s="1"/>
      <c r="AG139" s="1"/>
      <c r="AH139" s="1"/>
      <c r="AI139" s="1"/>
      <c r="AJ139" s="1"/>
      <c r="AL139" s="1"/>
      <c r="AM139" s="1"/>
      <c r="AN139" s="1"/>
      <c r="AO139" s="1"/>
      <c r="AP139" s="1"/>
      <c r="AQ139" s="1"/>
      <c r="AR139" s="1"/>
      <c r="AT139" s="1"/>
      <c r="AU139" s="1"/>
      <c r="AV139" s="1"/>
      <c r="AW139" s="1"/>
      <c r="AX139" s="1"/>
      <c r="AY139" s="1"/>
      <c r="BA139" s="1"/>
      <c r="BB139" s="1"/>
      <c r="BC139" s="1"/>
      <c r="BD139" s="1"/>
      <c r="BE139" s="1"/>
      <c r="BG139" s="1"/>
      <c r="BH139" s="1"/>
      <c r="BI139" s="1"/>
      <c r="BK139" s="1"/>
      <c r="BL139" s="1"/>
      <c r="BM139" s="1"/>
      <c r="BO139" s="1"/>
      <c r="BP139" s="1"/>
      <c r="BR139" s="1"/>
    </row>
    <row r="140" spans="28:70" x14ac:dyDescent="0.3">
      <c r="AD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R140" s="1"/>
      <c r="AT140" s="1"/>
      <c r="AU140" s="1"/>
      <c r="AV140" s="1"/>
      <c r="AW140" s="1"/>
      <c r="AX140" s="1"/>
      <c r="AY140" s="1"/>
      <c r="BA140" s="1"/>
      <c r="BB140" s="1"/>
      <c r="BC140" s="1"/>
      <c r="BD140" s="1"/>
      <c r="BE140" s="1"/>
      <c r="BG140" s="1"/>
      <c r="BH140" s="1"/>
      <c r="BI140" s="1"/>
      <c r="BK140" s="1"/>
      <c r="BL140" s="1"/>
      <c r="BM140" s="1"/>
      <c r="BO140" s="1"/>
      <c r="BP140" s="1"/>
      <c r="BR140" s="1"/>
    </row>
    <row r="141" spans="28:70" x14ac:dyDescent="0.3">
      <c r="AD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R141" s="1"/>
      <c r="AT141" s="1"/>
      <c r="AU141" s="1"/>
      <c r="AV141" s="1"/>
      <c r="AW141" s="1"/>
      <c r="AX141" s="1"/>
      <c r="AY141" s="1"/>
      <c r="BA141" s="1"/>
      <c r="BB141" s="1"/>
      <c r="BC141" s="1"/>
      <c r="BD141" s="1"/>
      <c r="BE141" s="1"/>
      <c r="BG141" s="1"/>
      <c r="BH141" s="1"/>
      <c r="BI141" s="1"/>
      <c r="BK141" s="1"/>
      <c r="BL141" s="1"/>
      <c r="BM141" s="1"/>
      <c r="BO141" s="1"/>
      <c r="BP141" s="1"/>
      <c r="BR141" s="1"/>
    </row>
    <row r="142" spans="28:70" x14ac:dyDescent="0.3">
      <c r="AD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R142" s="1"/>
      <c r="AT142" s="1"/>
      <c r="AU142" s="1"/>
      <c r="AV142" s="1"/>
      <c r="AW142" s="1"/>
      <c r="AX142" s="1"/>
      <c r="AY142" s="1"/>
      <c r="BA142" s="1"/>
      <c r="BB142" s="1"/>
      <c r="BC142" s="1"/>
      <c r="BD142" s="1"/>
      <c r="BE142" s="1"/>
      <c r="BG142" s="1"/>
      <c r="BH142" s="1"/>
      <c r="BI142" s="1"/>
      <c r="BK142" s="1"/>
      <c r="BL142" s="1"/>
      <c r="BM142" s="1"/>
      <c r="BO142" s="1"/>
      <c r="BP142" s="1"/>
      <c r="BR142" s="1"/>
    </row>
    <row r="143" spans="28:70" x14ac:dyDescent="0.3">
      <c r="AD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T143" s="1"/>
      <c r="AU143" s="1"/>
      <c r="AV143" s="1"/>
      <c r="AW143" s="1"/>
      <c r="AX143" s="1"/>
      <c r="AY143" s="1"/>
      <c r="BA143" s="1"/>
      <c r="BB143" s="1"/>
      <c r="BC143" s="1"/>
      <c r="BD143" s="1"/>
      <c r="BE143" s="1"/>
      <c r="BG143" s="1"/>
      <c r="BH143" s="1"/>
      <c r="BI143" s="1"/>
      <c r="BK143" s="1"/>
      <c r="BL143" s="1"/>
      <c r="BM143" s="1"/>
      <c r="BO143" s="1"/>
      <c r="BP143" s="1"/>
      <c r="BR143" s="1"/>
    </row>
    <row r="144" spans="28:70" x14ac:dyDescent="0.3">
      <c r="AD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T144" s="1"/>
      <c r="AU144" s="1"/>
      <c r="AV144" s="1"/>
      <c r="AW144" s="1"/>
      <c r="AX144" s="1"/>
      <c r="AY144" s="1"/>
      <c r="BA144" s="1"/>
      <c r="BB144" s="1"/>
      <c r="BC144" s="1"/>
      <c r="BD144" s="1"/>
      <c r="BE144" s="1"/>
      <c r="BG144" s="1"/>
      <c r="BH144" s="1"/>
      <c r="BI144" s="1"/>
      <c r="BK144" s="1"/>
      <c r="BL144" s="1"/>
      <c r="BM144" s="1"/>
      <c r="BO144" s="1"/>
      <c r="BP144" s="1"/>
      <c r="BR144" s="1"/>
    </row>
    <row r="145" spans="30:70" x14ac:dyDescent="0.3">
      <c r="AD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R145" s="1"/>
      <c r="AT145" s="1"/>
      <c r="AU145" s="1"/>
      <c r="AV145" s="1"/>
      <c r="AW145" s="1"/>
      <c r="AX145" s="1"/>
      <c r="AY145" s="1"/>
      <c r="BA145" s="1"/>
      <c r="BB145" s="1"/>
      <c r="BC145" s="1"/>
      <c r="BD145" s="1"/>
      <c r="BE145" s="1"/>
      <c r="BG145" s="1"/>
      <c r="BH145" s="1"/>
      <c r="BI145" s="1"/>
      <c r="BK145" s="1"/>
      <c r="BL145" s="1"/>
      <c r="BM145" s="1"/>
      <c r="BO145" s="1"/>
      <c r="BP145" s="1"/>
      <c r="BR14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2A6E-763C-4805-AD8C-C225A683115E}">
  <dimension ref="A1:BS233"/>
  <sheetViews>
    <sheetView zoomScale="68" zoomScaleNormal="68" workbookViewId="0">
      <selection activeCell="P26" sqref="P26"/>
    </sheetView>
  </sheetViews>
  <sheetFormatPr defaultRowHeight="14.4" x14ac:dyDescent="0.3"/>
  <cols>
    <col min="3" max="3" width="13.33203125" bestFit="1" customWidth="1"/>
    <col min="18" max="18" width="12.5546875" bestFit="1" customWidth="1"/>
    <col min="32" max="32" width="13.21875" bestFit="1" customWidth="1"/>
  </cols>
  <sheetData>
    <row r="1" spans="1:71" x14ac:dyDescent="0.3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6" t="s">
        <v>15</v>
      </c>
      <c r="R1" s="3" t="s">
        <v>1</v>
      </c>
      <c r="S1" s="3" t="s">
        <v>2</v>
      </c>
      <c r="T1" s="3" t="s">
        <v>4</v>
      </c>
      <c r="U1" s="3" t="s">
        <v>6</v>
      </c>
      <c r="V1" s="3" t="s">
        <v>8</v>
      </c>
      <c r="W1" s="3" t="s">
        <v>9</v>
      </c>
      <c r="X1" s="3" t="s">
        <v>11</v>
      </c>
      <c r="Y1" s="3" t="s">
        <v>13</v>
      </c>
      <c r="Z1" s="3" t="s">
        <v>15</v>
      </c>
      <c r="AG1" t="s">
        <v>36</v>
      </c>
    </row>
    <row r="2" spans="1:71" x14ac:dyDescent="0.3">
      <c r="A2" s="1" t="s">
        <v>16</v>
      </c>
      <c r="B2" s="1">
        <v>0</v>
      </c>
      <c r="C2" s="1">
        <v>2.23</v>
      </c>
      <c r="D2" s="1">
        <v>1.34</v>
      </c>
      <c r="E2" s="1">
        <v>0.12</v>
      </c>
      <c r="F2" s="1">
        <v>0.77</v>
      </c>
      <c r="G2" s="1">
        <v>0.12</v>
      </c>
      <c r="H2" s="1">
        <v>2</v>
      </c>
      <c r="I2" s="1">
        <v>0.76999999999999158</v>
      </c>
      <c r="J2" s="1">
        <v>1.4300000000000086</v>
      </c>
      <c r="K2" s="1">
        <v>1.34</v>
      </c>
      <c r="L2" s="1">
        <v>0.12</v>
      </c>
      <c r="M2" s="1">
        <v>0.77</v>
      </c>
      <c r="N2" s="1">
        <v>0.12</v>
      </c>
      <c r="O2" s="1">
        <v>2</v>
      </c>
      <c r="P2" s="1">
        <v>2.25</v>
      </c>
      <c r="Q2" t="s">
        <v>31</v>
      </c>
      <c r="R2" s="1">
        <f t="shared" ref="R2:S6" si="0">B16</f>
        <v>0</v>
      </c>
      <c r="S2" s="1">
        <f t="shared" si="0"/>
        <v>0</v>
      </c>
      <c r="T2" s="1">
        <f>E16</f>
        <v>3.5700000000000038</v>
      </c>
      <c r="U2" s="1">
        <f>G16</f>
        <v>4.5799999999999983</v>
      </c>
      <c r="V2" s="1">
        <f t="shared" ref="V2:W6" si="1">I16</f>
        <v>6.7</v>
      </c>
      <c r="W2" s="1">
        <f t="shared" si="1"/>
        <v>9.4</v>
      </c>
      <c r="X2" s="1">
        <f>L16</f>
        <v>12.170000000000018</v>
      </c>
      <c r="Y2" s="1">
        <f>N16</f>
        <v>14.61000000000003</v>
      </c>
      <c r="Z2" s="1">
        <f>P16</f>
        <v>22.760000000000048</v>
      </c>
      <c r="AA2" t="s">
        <v>17</v>
      </c>
      <c r="AD2" s="6" t="s">
        <v>4</v>
      </c>
      <c r="AE2" s="6" t="s">
        <v>6</v>
      </c>
      <c r="AF2" s="6" t="s">
        <v>8</v>
      </c>
      <c r="AG2" s="6" t="s">
        <v>9</v>
      </c>
      <c r="AH2" s="6" t="s">
        <v>11</v>
      </c>
      <c r="AI2" s="6" t="s">
        <v>13</v>
      </c>
      <c r="AJ2" s="6" t="s">
        <v>15</v>
      </c>
      <c r="AL2" s="6" t="s">
        <v>4</v>
      </c>
      <c r="AM2" s="6" t="s">
        <v>6</v>
      </c>
      <c r="AN2" s="6" t="s">
        <v>8</v>
      </c>
      <c r="AO2" s="6" t="s">
        <v>9</v>
      </c>
      <c r="AP2" s="6" t="s">
        <v>11</v>
      </c>
      <c r="AQ2" s="6" t="s">
        <v>13</v>
      </c>
      <c r="AR2" s="6" t="s">
        <v>15</v>
      </c>
      <c r="AT2" s="6" t="s">
        <v>6</v>
      </c>
      <c r="AU2" s="6" t="s">
        <v>8</v>
      </c>
      <c r="AV2" s="6" t="s">
        <v>9</v>
      </c>
      <c r="AW2" s="6" t="s">
        <v>11</v>
      </c>
      <c r="AX2" s="6" t="s">
        <v>13</v>
      </c>
      <c r="AY2" s="6" t="s">
        <v>15</v>
      </c>
      <c r="BA2" s="6" t="s">
        <v>8</v>
      </c>
      <c r="BB2" s="6" t="s">
        <v>9</v>
      </c>
      <c r="BC2" s="6" t="s">
        <v>11</v>
      </c>
      <c r="BD2" s="6" t="s">
        <v>13</v>
      </c>
      <c r="BE2" s="6" t="s">
        <v>15</v>
      </c>
      <c r="BG2" s="6" t="s">
        <v>11</v>
      </c>
      <c r="BH2" s="6" t="s">
        <v>13</v>
      </c>
      <c r="BI2" s="6" t="s">
        <v>15</v>
      </c>
      <c r="BK2" s="6" t="s">
        <v>11</v>
      </c>
      <c r="BL2" s="6" t="s">
        <v>13</v>
      </c>
      <c r="BM2" s="6" t="s">
        <v>15</v>
      </c>
      <c r="BO2" s="6" t="s">
        <v>13</v>
      </c>
      <c r="BP2" s="6" t="s">
        <v>15</v>
      </c>
      <c r="BR2" s="6" t="s">
        <v>15</v>
      </c>
    </row>
    <row r="3" spans="1:71" x14ac:dyDescent="0.3">
      <c r="A3" s="1" t="s">
        <v>18</v>
      </c>
      <c r="B3" s="1">
        <v>1.3400000000000101</v>
      </c>
      <c r="C3" s="1">
        <v>0.88999999999998991</v>
      </c>
      <c r="D3" s="1">
        <v>1.34</v>
      </c>
      <c r="E3" s="1">
        <v>0.12</v>
      </c>
      <c r="F3" s="1">
        <v>0.77</v>
      </c>
      <c r="G3" s="1">
        <v>0.12</v>
      </c>
      <c r="H3" s="1">
        <v>2</v>
      </c>
      <c r="I3" s="1">
        <v>0</v>
      </c>
      <c r="J3" s="1">
        <v>2.2000000000000002</v>
      </c>
      <c r="K3" s="1">
        <v>1.34</v>
      </c>
      <c r="L3" s="1">
        <v>0.12</v>
      </c>
      <c r="M3" s="1">
        <v>0.77</v>
      </c>
      <c r="N3" s="1">
        <v>0.12</v>
      </c>
      <c r="O3" s="1">
        <v>2</v>
      </c>
      <c r="P3" s="1">
        <v>2.25</v>
      </c>
      <c r="Q3" t="s">
        <v>32</v>
      </c>
      <c r="R3" s="1">
        <f t="shared" si="0"/>
        <v>2.23</v>
      </c>
      <c r="S3" s="1">
        <f t="shared" si="0"/>
        <v>3.6900000000000084</v>
      </c>
      <c r="T3" s="1">
        <f t="shared" ref="T3:T6" si="2">E17</f>
        <v>6.5799999999999939</v>
      </c>
      <c r="U3" s="1">
        <f t="shared" ref="U3:U6" si="3">G17</f>
        <v>7.4699999999999935</v>
      </c>
      <c r="V3" s="1">
        <f t="shared" si="1"/>
        <v>10.830000000000018</v>
      </c>
      <c r="W3" s="1">
        <f t="shared" si="1"/>
        <v>12.290000000000022</v>
      </c>
      <c r="X3" s="1">
        <f t="shared" ref="X3:X6" si="4">L17</f>
        <v>16.75</v>
      </c>
      <c r="Y3" s="1">
        <f t="shared" ref="Y3:Y6" si="5">N17</f>
        <v>20.290000000000038</v>
      </c>
      <c r="Z3" s="1">
        <f t="shared" ref="Z3:Z6" si="6">P17</f>
        <v>28.790000000000056</v>
      </c>
      <c r="AB3">
        <v>1</v>
      </c>
      <c r="AC3" t="s">
        <v>46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L3" s="1">
        <v>0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T3" s="1">
        <v>0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BA3" s="1">
        <v>0</v>
      </c>
      <c r="BB3" s="1">
        <v>1</v>
      </c>
      <c r="BC3" s="1">
        <v>1</v>
      </c>
      <c r="BD3" s="1">
        <v>1</v>
      </c>
      <c r="BE3" s="1">
        <v>1</v>
      </c>
      <c r="BG3" s="1">
        <v>1</v>
      </c>
      <c r="BH3" s="1">
        <v>1</v>
      </c>
      <c r="BI3" s="1">
        <v>1</v>
      </c>
      <c r="BK3" s="1">
        <v>0</v>
      </c>
      <c r="BL3" s="1">
        <v>1</v>
      </c>
      <c r="BM3" s="1">
        <v>1</v>
      </c>
      <c r="BO3" s="1">
        <v>0</v>
      </c>
      <c r="BP3" s="1">
        <v>1</v>
      </c>
      <c r="BR3" s="1">
        <v>1</v>
      </c>
    </row>
    <row r="4" spans="1:71" x14ac:dyDescent="0.3">
      <c r="A4" s="1" t="s">
        <v>26</v>
      </c>
      <c r="B4" s="1">
        <v>1.8799999999999941</v>
      </c>
      <c r="C4" s="1">
        <v>0.35</v>
      </c>
      <c r="D4" s="1">
        <v>1.34</v>
      </c>
      <c r="E4" s="1">
        <v>0.12</v>
      </c>
      <c r="F4" s="1">
        <v>0.77</v>
      </c>
      <c r="G4" s="1">
        <v>0.12</v>
      </c>
      <c r="H4" s="1">
        <v>2</v>
      </c>
      <c r="I4" s="1">
        <v>0</v>
      </c>
      <c r="J4" s="1">
        <v>2.2000000000000002</v>
      </c>
      <c r="K4" s="1">
        <v>1.34</v>
      </c>
      <c r="L4" s="1">
        <v>0.12</v>
      </c>
      <c r="M4" s="1">
        <v>0.77</v>
      </c>
      <c r="N4" s="1">
        <v>0.12</v>
      </c>
      <c r="O4" s="1">
        <v>2</v>
      </c>
      <c r="P4" s="1">
        <v>2.25</v>
      </c>
      <c r="Q4" t="s">
        <v>33</v>
      </c>
      <c r="R4" s="1">
        <f t="shared" si="0"/>
        <v>4.7</v>
      </c>
      <c r="S4" s="1">
        <f t="shared" si="0"/>
        <v>7.5899999999999981</v>
      </c>
      <c r="T4" s="1">
        <f t="shared" si="2"/>
        <v>9.2800000000000047</v>
      </c>
      <c r="U4" s="1">
        <f t="shared" si="3"/>
        <v>11.720000000000013</v>
      </c>
      <c r="V4" s="1">
        <f t="shared" si="1"/>
        <v>14.730000000000034</v>
      </c>
      <c r="W4" s="1">
        <f t="shared" si="1"/>
        <v>18.090000000000035</v>
      </c>
      <c r="X4" s="1">
        <f t="shared" si="4"/>
        <v>25.010000000000048</v>
      </c>
      <c r="Y4" s="1">
        <f t="shared" si="5"/>
        <v>27.45</v>
      </c>
      <c r="Z4" s="1">
        <f t="shared" si="6"/>
        <v>34.700000000000003</v>
      </c>
      <c r="AB4">
        <v>2</v>
      </c>
      <c r="AC4" t="s">
        <v>49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L4" s="1">
        <v>0</v>
      </c>
      <c r="AM4" s="1">
        <v>0</v>
      </c>
      <c r="AN4" s="1">
        <v>0</v>
      </c>
      <c r="AO4" s="1">
        <v>1</v>
      </c>
      <c r="AP4" s="1">
        <v>1</v>
      </c>
      <c r="AQ4" s="1">
        <v>1</v>
      </c>
      <c r="AR4" s="1">
        <v>1</v>
      </c>
      <c r="AT4" s="1">
        <v>0</v>
      </c>
      <c r="AU4" s="1">
        <v>0</v>
      </c>
      <c r="AV4" s="1">
        <v>1</v>
      </c>
      <c r="AW4" s="1">
        <v>1</v>
      </c>
      <c r="AX4" s="1">
        <v>1</v>
      </c>
      <c r="AY4" s="1">
        <v>1</v>
      </c>
      <c r="BA4" s="1">
        <v>0</v>
      </c>
      <c r="BB4" s="1">
        <v>0</v>
      </c>
      <c r="BC4" s="1">
        <v>1</v>
      </c>
      <c r="BD4" s="1">
        <v>1</v>
      </c>
      <c r="BE4" s="1">
        <v>1</v>
      </c>
      <c r="BG4" s="1">
        <v>0</v>
      </c>
      <c r="BH4" s="1">
        <v>0</v>
      </c>
      <c r="BI4" s="1">
        <v>1</v>
      </c>
      <c r="BK4" s="1">
        <v>0</v>
      </c>
      <c r="BL4" s="1">
        <v>0</v>
      </c>
      <c r="BM4" s="1">
        <v>1</v>
      </c>
      <c r="BO4" s="1">
        <v>0</v>
      </c>
      <c r="BP4" s="1">
        <v>0</v>
      </c>
      <c r="BR4" s="1">
        <v>0</v>
      </c>
      <c r="BS4" s="21"/>
    </row>
    <row r="5" spans="1:71" x14ac:dyDescent="0.3">
      <c r="A5" s="1" t="s">
        <v>30</v>
      </c>
      <c r="B5" s="1">
        <v>1.3400000000000039</v>
      </c>
      <c r="C5" s="1">
        <v>0.88999999999999613</v>
      </c>
      <c r="D5" s="1">
        <v>1.34</v>
      </c>
      <c r="E5" s="1">
        <v>0.12</v>
      </c>
      <c r="F5" s="1">
        <v>0.77</v>
      </c>
      <c r="G5" s="1">
        <v>0.12</v>
      </c>
      <c r="H5" s="1">
        <v>2</v>
      </c>
      <c r="I5" s="1">
        <v>0</v>
      </c>
      <c r="J5" s="1">
        <v>2.2000000000000002</v>
      </c>
      <c r="K5" s="1">
        <v>1.34</v>
      </c>
      <c r="L5" s="1">
        <v>0.12</v>
      </c>
      <c r="M5" s="1">
        <v>0.77</v>
      </c>
      <c r="N5" s="1">
        <v>0.12</v>
      </c>
      <c r="O5" s="1">
        <v>2</v>
      </c>
      <c r="P5" s="1">
        <v>2.25</v>
      </c>
      <c r="Q5" t="s">
        <v>45</v>
      </c>
      <c r="R5" s="1">
        <f t="shared" si="0"/>
        <v>7.9400000000000039</v>
      </c>
      <c r="S5" s="1">
        <f t="shared" si="0"/>
        <v>10.830000000000018</v>
      </c>
      <c r="T5" s="1">
        <f t="shared" si="2"/>
        <v>14.490000000000025</v>
      </c>
      <c r="U5" s="1">
        <f t="shared" si="3"/>
        <v>16.630000000000031</v>
      </c>
      <c r="V5" s="1">
        <f t="shared" si="1"/>
        <v>20.410000000000043</v>
      </c>
      <c r="W5" s="1">
        <f t="shared" si="1"/>
        <v>25.130000000000052</v>
      </c>
      <c r="X5" s="1">
        <f t="shared" si="4"/>
        <v>28.670000000000051</v>
      </c>
      <c r="Y5" s="1">
        <f t="shared" si="5"/>
        <v>32.260000000000076</v>
      </c>
      <c r="Z5" s="1">
        <f t="shared" si="6"/>
        <v>37.070000000000093</v>
      </c>
      <c r="AB5">
        <v>3</v>
      </c>
      <c r="AC5" t="s">
        <v>50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/>
      <c r="AL5" s="1">
        <v>0</v>
      </c>
      <c r="AM5" s="1">
        <v>0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/>
      <c r="AT5" s="1">
        <v>0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/>
      <c r="BA5" s="1">
        <v>0</v>
      </c>
      <c r="BB5" s="1">
        <v>1</v>
      </c>
      <c r="BC5" s="1">
        <v>1</v>
      </c>
      <c r="BD5" s="1">
        <v>1</v>
      </c>
      <c r="BE5" s="1">
        <v>1</v>
      </c>
      <c r="BF5" s="1"/>
      <c r="BG5" s="1">
        <v>1</v>
      </c>
      <c r="BH5" s="1">
        <v>1</v>
      </c>
      <c r="BI5" s="1">
        <v>1</v>
      </c>
      <c r="BJ5" s="1"/>
      <c r="BK5" s="1">
        <v>0</v>
      </c>
      <c r="BL5" s="1">
        <v>1</v>
      </c>
      <c r="BM5" s="1">
        <v>1</v>
      </c>
      <c r="BN5" s="1"/>
      <c r="BO5" s="1">
        <v>0</v>
      </c>
      <c r="BP5" s="1">
        <v>1</v>
      </c>
      <c r="BQ5" s="1"/>
      <c r="BR5" s="1">
        <v>1</v>
      </c>
    </row>
    <row r="6" spans="1:71" x14ac:dyDescent="0.3">
      <c r="A6" s="1" t="s">
        <v>27</v>
      </c>
      <c r="B6" s="1">
        <v>0.33000000000000318</v>
      </c>
      <c r="C6" s="1">
        <v>1.9</v>
      </c>
      <c r="D6" s="1">
        <v>1.34</v>
      </c>
      <c r="E6" s="1">
        <v>0.12</v>
      </c>
      <c r="F6" s="1">
        <v>0.77</v>
      </c>
      <c r="G6" s="1">
        <v>0.12</v>
      </c>
      <c r="H6" s="1">
        <v>2</v>
      </c>
      <c r="I6" s="1">
        <v>0.97999999999998355</v>
      </c>
      <c r="J6" s="1">
        <v>1.2200000000000166</v>
      </c>
      <c r="K6" s="1">
        <v>1.34</v>
      </c>
      <c r="L6" s="1">
        <v>0.12</v>
      </c>
      <c r="M6" s="1">
        <v>0.77</v>
      </c>
      <c r="N6" s="1">
        <v>0.12</v>
      </c>
      <c r="O6" s="1">
        <v>2</v>
      </c>
      <c r="P6" s="1">
        <v>2.25</v>
      </c>
      <c r="Q6" t="s">
        <v>64</v>
      </c>
      <c r="R6" s="1">
        <f t="shared" si="0"/>
        <v>11.840000000000018</v>
      </c>
      <c r="S6" s="1">
        <f t="shared" si="0"/>
        <v>14.730000000000036</v>
      </c>
      <c r="T6" s="1">
        <f t="shared" si="2"/>
        <v>17.970000000000031</v>
      </c>
      <c r="U6" s="1">
        <f t="shared" si="3"/>
        <v>22.640000000000043</v>
      </c>
      <c r="V6" s="1">
        <f t="shared" si="1"/>
        <v>27.570000000000061</v>
      </c>
      <c r="W6" s="1">
        <f t="shared" si="1"/>
        <v>31.040000000000056</v>
      </c>
      <c r="X6" s="1">
        <f t="shared" si="4"/>
        <v>33.6</v>
      </c>
      <c r="Y6" s="1">
        <f t="shared" si="5"/>
        <v>36.950000000000003</v>
      </c>
      <c r="Z6" s="1">
        <f t="shared" si="6"/>
        <v>40.330000000000098</v>
      </c>
      <c r="AB6">
        <v>4</v>
      </c>
      <c r="AC6" t="s">
        <v>47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/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/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/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/>
      <c r="BG6" s="1">
        <v>0</v>
      </c>
      <c r="BH6" s="1">
        <v>0</v>
      </c>
      <c r="BI6" s="1">
        <v>0</v>
      </c>
      <c r="BJ6" s="1"/>
      <c r="BK6" s="1">
        <v>1</v>
      </c>
      <c r="BL6" s="1">
        <v>0</v>
      </c>
      <c r="BM6" s="1">
        <v>0</v>
      </c>
      <c r="BN6" s="1"/>
      <c r="BO6" s="1">
        <v>1</v>
      </c>
      <c r="BP6" s="1">
        <v>0</v>
      </c>
      <c r="BQ6" s="1"/>
      <c r="BR6" s="1">
        <v>0</v>
      </c>
    </row>
    <row r="7" spans="1:71" x14ac:dyDescent="0.3">
      <c r="A7" s="1" t="s">
        <v>29</v>
      </c>
      <c r="B7" s="1">
        <v>0</v>
      </c>
      <c r="C7" s="1">
        <v>2.23</v>
      </c>
      <c r="D7" s="1">
        <v>1.34</v>
      </c>
      <c r="E7" s="1">
        <v>0.12</v>
      </c>
      <c r="F7" s="1">
        <v>0.77</v>
      </c>
      <c r="G7" s="1">
        <v>0.12</v>
      </c>
      <c r="H7" s="1">
        <v>2</v>
      </c>
      <c r="I7" s="1">
        <v>1.2199999999999962</v>
      </c>
      <c r="J7" s="1">
        <v>0.98000000000000398</v>
      </c>
      <c r="K7" s="1">
        <v>1.34</v>
      </c>
      <c r="L7" s="1">
        <v>0.12</v>
      </c>
      <c r="M7" s="1">
        <v>0.77</v>
      </c>
      <c r="N7" s="1">
        <v>0.12</v>
      </c>
      <c r="O7" s="1">
        <v>2</v>
      </c>
      <c r="P7" s="1">
        <v>2.25</v>
      </c>
      <c r="Q7" s="3" t="s">
        <v>82</v>
      </c>
      <c r="R7" s="6">
        <f t="shared" ref="R7" si="7">B21</f>
        <v>18.090000000000035</v>
      </c>
      <c r="S7" s="6">
        <f t="shared" ref="S7" si="8">C21</f>
        <v>20.410000000000046</v>
      </c>
      <c r="T7" s="6">
        <f t="shared" ref="T7" si="9">E21</f>
        <v>27.330000000000052</v>
      </c>
      <c r="U7" s="6">
        <f t="shared" ref="U7" si="10">G21</f>
        <v>28.55</v>
      </c>
      <c r="V7" s="6">
        <f t="shared" ref="V7" si="11">I21</f>
        <v>32.380000000000081</v>
      </c>
      <c r="W7" s="6">
        <f t="shared" ref="W7" si="12">J21</f>
        <v>33.720000000000084</v>
      </c>
      <c r="X7" s="6">
        <f t="shared" ref="X7" si="13">L21</f>
        <v>39.320000000000093</v>
      </c>
      <c r="Y7" s="6">
        <f t="shared" ref="Y7" si="14">N21</f>
        <v>40.210000000000093</v>
      </c>
      <c r="Z7" s="6">
        <f t="shared" ref="Z7" si="15">P21</f>
        <v>42.580000000000098</v>
      </c>
      <c r="AB7">
        <v>5</v>
      </c>
      <c r="AC7" t="s">
        <v>51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>
        <v>0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T7" s="1">
        <v>1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BA7" s="1">
        <v>1</v>
      </c>
      <c r="BB7" s="1">
        <v>1</v>
      </c>
      <c r="BC7" s="1">
        <v>0</v>
      </c>
      <c r="BD7" s="1">
        <v>0</v>
      </c>
      <c r="BE7" s="1">
        <v>0</v>
      </c>
      <c r="BG7" s="1">
        <v>1</v>
      </c>
      <c r="BH7" s="1">
        <v>1</v>
      </c>
      <c r="BI7" s="1">
        <v>0</v>
      </c>
      <c r="BK7" s="1">
        <v>1</v>
      </c>
      <c r="BL7" s="1">
        <v>1</v>
      </c>
      <c r="BM7" s="1">
        <v>0</v>
      </c>
      <c r="BO7" s="1">
        <v>1</v>
      </c>
      <c r="BP7" s="1">
        <v>1</v>
      </c>
      <c r="BR7" s="1">
        <v>1</v>
      </c>
    </row>
    <row r="8" spans="1:71" x14ac:dyDescent="0.3">
      <c r="A8" t="s">
        <v>19</v>
      </c>
      <c r="B8" s="9">
        <f t="shared" ref="B8:B13" si="16">SUM(B2:C2)</f>
        <v>2.23</v>
      </c>
      <c r="C8" s="9"/>
      <c r="D8">
        <f>2.2</f>
        <v>2.2000000000000002</v>
      </c>
      <c r="E8">
        <v>2.25</v>
      </c>
      <c r="I8" s="9">
        <f>SUM(I2:J2)</f>
        <v>2.2000000000000002</v>
      </c>
      <c r="J8" s="9"/>
      <c r="AB8">
        <v>6</v>
      </c>
      <c r="AC8" t="s">
        <v>52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1">
        <v>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G8" s="1">
        <v>0</v>
      </c>
      <c r="BH8" s="1">
        <v>0</v>
      </c>
      <c r="BI8" s="1">
        <v>0</v>
      </c>
      <c r="BK8" s="1">
        <v>1</v>
      </c>
      <c r="BL8" s="1">
        <v>0</v>
      </c>
      <c r="BM8" s="1">
        <v>0</v>
      </c>
      <c r="BO8" s="1">
        <v>1</v>
      </c>
      <c r="BP8" s="1">
        <v>0</v>
      </c>
      <c r="BR8" s="1">
        <v>0</v>
      </c>
    </row>
    <row r="9" spans="1:71" x14ac:dyDescent="0.3">
      <c r="A9" t="s">
        <v>20</v>
      </c>
      <c r="B9" s="10">
        <f t="shared" si="16"/>
        <v>2.23</v>
      </c>
      <c r="C9" s="10"/>
      <c r="D9">
        <f t="shared" ref="D9:D11" si="17">2.2</f>
        <v>2.2000000000000002</v>
      </c>
      <c r="E9">
        <v>2.25</v>
      </c>
      <c r="I9" s="9">
        <f t="shared" ref="I9:I13" si="18">SUM(I3:J3)</f>
        <v>2.2000000000000002</v>
      </c>
      <c r="J9" s="10"/>
      <c r="AA9" t="s">
        <v>54</v>
      </c>
      <c r="AB9">
        <v>7</v>
      </c>
      <c r="AC9" t="s">
        <v>55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1</v>
      </c>
      <c r="AJ9" s="1">
        <v>1</v>
      </c>
      <c r="AL9" s="1">
        <v>0</v>
      </c>
      <c r="AM9">
        <v>0</v>
      </c>
      <c r="AN9" s="1">
        <v>0</v>
      </c>
      <c r="AO9" s="1">
        <v>0</v>
      </c>
      <c r="AP9" s="1">
        <v>1</v>
      </c>
      <c r="AQ9" s="1">
        <v>1</v>
      </c>
      <c r="AR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G9" s="1">
        <v>0</v>
      </c>
      <c r="BH9" s="1">
        <v>0</v>
      </c>
      <c r="BI9" s="1">
        <v>1</v>
      </c>
      <c r="BK9" s="1">
        <v>0</v>
      </c>
      <c r="BL9" s="1">
        <v>0</v>
      </c>
      <c r="BM9" s="1">
        <v>0</v>
      </c>
      <c r="BO9" s="1">
        <v>0</v>
      </c>
      <c r="BP9" s="1">
        <v>0</v>
      </c>
      <c r="BR9" s="1">
        <v>0</v>
      </c>
    </row>
    <row r="10" spans="1:71" x14ac:dyDescent="0.3">
      <c r="A10" t="s">
        <v>28</v>
      </c>
      <c r="B10" s="9">
        <f t="shared" si="16"/>
        <v>2.2299999999999942</v>
      </c>
      <c r="C10" s="2"/>
      <c r="D10">
        <f t="shared" si="17"/>
        <v>2.2000000000000002</v>
      </c>
      <c r="E10">
        <v>2.25</v>
      </c>
      <c r="I10" s="9">
        <f t="shared" si="18"/>
        <v>2.2000000000000002</v>
      </c>
      <c r="J10" s="2"/>
      <c r="AB10">
        <v>8</v>
      </c>
      <c r="AC10" t="s">
        <v>56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L10" s="1">
        <v>0</v>
      </c>
      <c r="AM10" s="1">
        <v>0</v>
      </c>
      <c r="AN10" s="1">
        <v>0</v>
      </c>
      <c r="AO10" s="1">
        <v>1</v>
      </c>
      <c r="AP10" s="1">
        <v>1</v>
      </c>
      <c r="AQ10" s="1">
        <v>1</v>
      </c>
      <c r="AR10" s="1">
        <v>1</v>
      </c>
      <c r="AT10" s="1">
        <v>0</v>
      </c>
      <c r="AU10" s="1">
        <v>0</v>
      </c>
      <c r="AV10" s="1">
        <v>0</v>
      </c>
      <c r="AW10" s="1">
        <v>1</v>
      </c>
      <c r="AX10" s="1">
        <v>1</v>
      </c>
      <c r="AY10" s="1">
        <v>1</v>
      </c>
      <c r="BA10" s="1">
        <v>0</v>
      </c>
      <c r="BB10" s="1">
        <v>0</v>
      </c>
      <c r="BC10" s="1">
        <v>1</v>
      </c>
      <c r="BD10" s="1">
        <v>1</v>
      </c>
      <c r="BE10" s="1">
        <v>1</v>
      </c>
      <c r="BG10" s="1">
        <v>0</v>
      </c>
      <c r="BH10" s="1">
        <v>0</v>
      </c>
      <c r="BI10" s="1">
        <v>1</v>
      </c>
      <c r="BK10" s="1">
        <v>0</v>
      </c>
      <c r="BL10" s="1">
        <v>0</v>
      </c>
      <c r="BM10" s="1">
        <v>1</v>
      </c>
      <c r="BO10" s="1">
        <v>0</v>
      </c>
      <c r="BP10" s="1">
        <v>1</v>
      </c>
      <c r="BR10" s="1">
        <v>0</v>
      </c>
    </row>
    <row r="11" spans="1:71" x14ac:dyDescent="0.3">
      <c r="A11" t="s">
        <v>30</v>
      </c>
      <c r="B11" s="9">
        <f t="shared" si="16"/>
        <v>2.23</v>
      </c>
      <c r="C11" s="2"/>
      <c r="D11">
        <f t="shared" si="17"/>
        <v>2.2000000000000002</v>
      </c>
      <c r="E11">
        <v>2.25</v>
      </c>
      <c r="I11" s="9">
        <f t="shared" si="18"/>
        <v>2.2000000000000002</v>
      </c>
      <c r="J11" s="2"/>
      <c r="AB11">
        <v>9</v>
      </c>
      <c r="AC11" t="s">
        <v>57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L11" s="1">
        <v>0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T11" s="1">
        <v>0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BA11" s="1">
        <v>0</v>
      </c>
      <c r="BB11" s="1">
        <v>1</v>
      </c>
      <c r="BC11" s="1">
        <v>1</v>
      </c>
      <c r="BD11" s="1">
        <v>1</v>
      </c>
      <c r="BE11" s="1">
        <v>1</v>
      </c>
      <c r="BG11" s="1">
        <v>1</v>
      </c>
      <c r="BH11" s="1">
        <v>1</v>
      </c>
      <c r="BI11" s="1">
        <v>1</v>
      </c>
      <c r="BK11" s="1">
        <v>0</v>
      </c>
      <c r="BL11" s="1">
        <v>1</v>
      </c>
      <c r="BM11" s="1">
        <v>1</v>
      </c>
      <c r="BO11" s="1">
        <v>0</v>
      </c>
      <c r="BP11" s="1">
        <v>1</v>
      </c>
      <c r="BR11" s="1">
        <v>1</v>
      </c>
    </row>
    <row r="12" spans="1:71" x14ac:dyDescent="0.3">
      <c r="A12" t="s">
        <v>27</v>
      </c>
      <c r="B12" s="9">
        <f t="shared" si="16"/>
        <v>2.2300000000000031</v>
      </c>
      <c r="C12" s="2"/>
      <c r="I12" s="9">
        <f t="shared" si="18"/>
        <v>2.2000000000000002</v>
      </c>
      <c r="J12" s="2"/>
      <c r="AB12">
        <v>10</v>
      </c>
      <c r="AC12" t="s">
        <v>58</v>
      </c>
      <c r="AD12" s="1">
        <v>1</v>
      </c>
      <c r="AE12" s="1">
        <v>1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L12" s="1">
        <v>1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T12" s="1">
        <v>1</v>
      </c>
      <c r="AU12" s="1">
        <v>1</v>
      </c>
      <c r="AV12" s="1">
        <v>1</v>
      </c>
      <c r="AW12" s="1">
        <v>1</v>
      </c>
      <c r="AX12" s="1">
        <v>0</v>
      </c>
      <c r="AY12" s="1">
        <v>0</v>
      </c>
      <c r="BA12" s="1">
        <v>1</v>
      </c>
      <c r="BB12" s="1">
        <v>1</v>
      </c>
      <c r="BC12" s="1">
        <v>1</v>
      </c>
      <c r="BD12" s="1">
        <v>1</v>
      </c>
      <c r="BE12" s="1">
        <v>0</v>
      </c>
      <c r="BG12" s="1">
        <v>1</v>
      </c>
      <c r="BH12" s="1">
        <v>1</v>
      </c>
      <c r="BI12" s="1">
        <v>0</v>
      </c>
      <c r="BK12" s="1">
        <v>1</v>
      </c>
      <c r="BL12" s="1">
        <v>1</v>
      </c>
      <c r="BM12" s="1">
        <v>1</v>
      </c>
      <c r="BO12" s="1">
        <v>1</v>
      </c>
      <c r="BP12" s="1">
        <v>1</v>
      </c>
      <c r="BR12" s="1">
        <v>1</v>
      </c>
    </row>
    <row r="13" spans="1:71" x14ac:dyDescent="0.3">
      <c r="A13" t="s">
        <v>29</v>
      </c>
      <c r="B13" s="9">
        <f t="shared" si="16"/>
        <v>2.23</v>
      </c>
      <c r="C13" s="2"/>
      <c r="I13" s="9">
        <f t="shared" si="18"/>
        <v>2.2000000000000002</v>
      </c>
      <c r="J13" s="2"/>
      <c r="AA13" t="s">
        <v>21</v>
      </c>
      <c r="AB13">
        <v>11</v>
      </c>
      <c r="AC13" t="s">
        <v>59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L13" s="1">
        <v>1</v>
      </c>
      <c r="AM13" s="1">
        <v>1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T13" s="1">
        <v>1</v>
      </c>
      <c r="AU13" s="1">
        <v>1</v>
      </c>
      <c r="AV13" s="1">
        <v>1</v>
      </c>
      <c r="AW13" s="1">
        <v>0</v>
      </c>
      <c r="AX13" s="1">
        <v>0</v>
      </c>
      <c r="AY13" s="1">
        <v>0</v>
      </c>
      <c r="BA13" s="1">
        <v>1</v>
      </c>
      <c r="BB13" s="1">
        <v>1</v>
      </c>
      <c r="BC13" s="1">
        <v>0</v>
      </c>
      <c r="BD13" s="1">
        <v>0</v>
      </c>
      <c r="BE13" s="1">
        <v>0</v>
      </c>
      <c r="BG13" s="1">
        <v>1</v>
      </c>
      <c r="BH13" s="1">
        <v>1</v>
      </c>
      <c r="BI13" s="1">
        <v>0</v>
      </c>
      <c r="BK13" s="1">
        <v>1</v>
      </c>
      <c r="BL13" s="1">
        <v>1</v>
      </c>
      <c r="BM13" s="1">
        <v>0</v>
      </c>
      <c r="BO13" s="1">
        <v>1</v>
      </c>
      <c r="BP13" s="1">
        <v>0</v>
      </c>
      <c r="BR13" s="1">
        <v>1</v>
      </c>
    </row>
    <row r="14" spans="1:71" x14ac:dyDescent="0.3">
      <c r="A14" t="s">
        <v>22</v>
      </c>
      <c r="AB14">
        <v>12</v>
      </c>
      <c r="AC14" t="s">
        <v>60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T14" s="1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G14" s="1">
        <v>0</v>
      </c>
      <c r="BH14" s="1">
        <v>0</v>
      </c>
      <c r="BI14" s="1">
        <v>0</v>
      </c>
      <c r="BK14" s="1">
        <v>1</v>
      </c>
      <c r="BL14" s="1">
        <v>0</v>
      </c>
      <c r="BM14" s="1">
        <v>0</v>
      </c>
      <c r="BO14" s="1">
        <v>1</v>
      </c>
      <c r="BP14" s="1">
        <v>0</v>
      </c>
      <c r="BR14" s="1">
        <v>0</v>
      </c>
    </row>
    <row r="15" spans="1:71" x14ac:dyDescent="0.3">
      <c r="B15" s="3" t="s">
        <v>1</v>
      </c>
      <c r="C15" s="3" t="s">
        <v>2</v>
      </c>
      <c r="D15" t="s">
        <v>3</v>
      </c>
      <c r="E15" s="3" t="s">
        <v>4</v>
      </c>
      <c r="F15" t="s">
        <v>5</v>
      </c>
      <c r="G15" s="3" t="s">
        <v>6</v>
      </c>
      <c r="H15" t="s">
        <v>7</v>
      </c>
      <c r="I15" s="3" t="s">
        <v>8</v>
      </c>
      <c r="J15" s="3" t="s">
        <v>9</v>
      </c>
      <c r="K15" t="s">
        <v>10</v>
      </c>
      <c r="L15" s="3" t="s">
        <v>11</v>
      </c>
      <c r="M15" t="s">
        <v>12</v>
      </c>
      <c r="N15" s="3" t="s">
        <v>13</v>
      </c>
      <c r="O15" t="s">
        <v>14</v>
      </c>
      <c r="P15" s="3" t="s">
        <v>15</v>
      </c>
      <c r="R15" s="3" t="s">
        <v>1</v>
      </c>
      <c r="S15" s="3" t="s">
        <v>2</v>
      </c>
      <c r="T15" s="3" t="s">
        <v>4</v>
      </c>
      <c r="U15" s="3" t="s">
        <v>6</v>
      </c>
      <c r="V15" s="3" t="s">
        <v>8</v>
      </c>
      <c r="W15" s="3" t="s">
        <v>9</v>
      </c>
      <c r="X15" s="3" t="s">
        <v>11</v>
      </c>
      <c r="Y15" s="3" t="s">
        <v>13</v>
      </c>
      <c r="Z15" s="3" t="s">
        <v>15</v>
      </c>
      <c r="AB15">
        <v>13</v>
      </c>
      <c r="AC15" t="s">
        <v>65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1</v>
      </c>
      <c r="AJ15" s="1">
        <v>1</v>
      </c>
      <c r="AK15" s="1"/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/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/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/>
      <c r="BG15" s="1">
        <v>0</v>
      </c>
      <c r="BH15" s="1">
        <v>0</v>
      </c>
      <c r="BI15" s="1">
        <v>0</v>
      </c>
      <c r="BJ15" s="1"/>
      <c r="BK15" s="1">
        <v>0</v>
      </c>
      <c r="BL15" s="1">
        <v>0</v>
      </c>
      <c r="BM15" s="1">
        <v>0</v>
      </c>
      <c r="BN15" s="1"/>
      <c r="BO15" s="1">
        <v>0</v>
      </c>
      <c r="BP15" s="1">
        <v>0</v>
      </c>
      <c r="BQ15" s="1"/>
      <c r="BR15" s="1">
        <v>0</v>
      </c>
    </row>
    <row r="16" spans="1:71" x14ac:dyDescent="0.3">
      <c r="A16" s="1" t="s">
        <v>16</v>
      </c>
      <c r="B16" s="1">
        <v>0</v>
      </c>
      <c r="C16" s="1">
        <v>0</v>
      </c>
      <c r="D16" s="1">
        <v>2.23</v>
      </c>
      <c r="E16" s="1">
        <v>3.5700000000000038</v>
      </c>
      <c r="F16" s="1">
        <v>3.6900000000000039</v>
      </c>
      <c r="G16" s="1">
        <v>4.5799999999999983</v>
      </c>
      <c r="H16" s="1">
        <v>4.7</v>
      </c>
      <c r="I16" s="1">
        <v>6.7</v>
      </c>
      <c r="J16" s="1">
        <v>9.4</v>
      </c>
      <c r="K16" s="1">
        <v>10.830000000000018</v>
      </c>
      <c r="L16" s="1">
        <v>12.170000000000018</v>
      </c>
      <c r="M16" s="1">
        <v>12.290000000000017</v>
      </c>
      <c r="N16" s="17">
        <v>14.61000000000003</v>
      </c>
      <c r="O16" s="1">
        <v>14.730000000000029</v>
      </c>
      <c r="P16" s="1">
        <v>22.760000000000048</v>
      </c>
      <c r="Q16" s="7" t="s">
        <v>31</v>
      </c>
      <c r="R16" s="1">
        <f t="shared" ref="R16:S20" si="19">B30</f>
        <v>0</v>
      </c>
      <c r="S16" s="1">
        <f t="shared" si="19"/>
        <v>2.23</v>
      </c>
      <c r="T16" s="1">
        <f>E30</f>
        <v>3.6900000000000039</v>
      </c>
      <c r="U16" s="1">
        <f>G30</f>
        <v>4.6999999999999984</v>
      </c>
      <c r="V16" s="1">
        <f t="shared" ref="V16:W20" si="20">I30</f>
        <v>7.4699999999999918</v>
      </c>
      <c r="W16" s="1">
        <f t="shared" si="20"/>
        <v>10.830000000000009</v>
      </c>
      <c r="X16" s="1">
        <f>L30</f>
        <v>12.290000000000017</v>
      </c>
      <c r="Y16" s="1">
        <f>N30</f>
        <v>14.730000000000029</v>
      </c>
      <c r="Z16" s="1">
        <f>P30</f>
        <v>25.010000000000048</v>
      </c>
      <c r="AB16">
        <v>14</v>
      </c>
      <c r="AC16" t="s">
        <v>66</v>
      </c>
      <c r="AD16" s="13">
        <v>0</v>
      </c>
      <c r="AE16" s="13">
        <v>0</v>
      </c>
      <c r="AF16" s="13">
        <v>0</v>
      </c>
      <c r="AG16" s="13">
        <v>1</v>
      </c>
      <c r="AH16" s="13">
        <v>1</v>
      </c>
      <c r="AI16" s="13">
        <v>1</v>
      </c>
      <c r="AJ16" s="13">
        <v>1</v>
      </c>
      <c r="AK16" s="2"/>
      <c r="AL16" s="13">
        <v>0</v>
      </c>
      <c r="AM16" s="13">
        <v>0</v>
      </c>
      <c r="AN16" s="13">
        <v>0</v>
      </c>
      <c r="AO16" s="13">
        <v>0</v>
      </c>
      <c r="AP16" s="13">
        <v>1</v>
      </c>
      <c r="AQ16" s="13">
        <v>1</v>
      </c>
      <c r="AR16" s="13">
        <v>1</v>
      </c>
      <c r="AS16" s="2"/>
      <c r="AT16" s="13">
        <v>0</v>
      </c>
      <c r="AU16" s="13">
        <v>0</v>
      </c>
      <c r="AV16" s="13">
        <v>0</v>
      </c>
      <c r="AW16" s="13">
        <v>0</v>
      </c>
      <c r="AX16" s="13">
        <v>1</v>
      </c>
      <c r="AY16" s="13">
        <v>1</v>
      </c>
      <c r="AZ16" s="2"/>
      <c r="BA16" s="13">
        <v>0</v>
      </c>
      <c r="BB16" s="13">
        <v>0</v>
      </c>
      <c r="BC16" s="13">
        <v>0</v>
      </c>
      <c r="BD16" s="13">
        <v>0</v>
      </c>
      <c r="BE16" s="13">
        <v>1</v>
      </c>
      <c r="BF16" s="2"/>
      <c r="BG16" s="13">
        <v>0</v>
      </c>
      <c r="BH16" s="13">
        <v>0</v>
      </c>
      <c r="BI16" s="13">
        <v>1</v>
      </c>
      <c r="BJ16" s="2"/>
      <c r="BK16" s="13">
        <v>0</v>
      </c>
      <c r="BL16" s="13">
        <v>0</v>
      </c>
      <c r="BM16" s="13">
        <v>0</v>
      </c>
      <c r="BN16" s="2"/>
      <c r="BO16" s="13">
        <v>0</v>
      </c>
      <c r="BP16" s="13">
        <v>0</v>
      </c>
      <c r="BQ16" s="2"/>
      <c r="BR16" s="13">
        <v>0</v>
      </c>
    </row>
    <row r="17" spans="1:70" x14ac:dyDescent="0.3">
      <c r="A17" s="1" t="s">
        <v>18</v>
      </c>
      <c r="B17" s="1">
        <v>2.23</v>
      </c>
      <c r="C17" s="1">
        <v>3.6900000000000084</v>
      </c>
      <c r="D17" s="1">
        <v>4.5799999999999974</v>
      </c>
      <c r="E17" s="1">
        <v>6.5799999999999939</v>
      </c>
      <c r="F17" s="1">
        <v>6.7</v>
      </c>
      <c r="G17" s="1">
        <v>7.4699999999999935</v>
      </c>
      <c r="H17" s="1">
        <v>7.5899999999999936</v>
      </c>
      <c r="I17" s="1">
        <v>10.830000000000018</v>
      </c>
      <c r="J17" s="1">
        <v>12.290000000000022</v>
      </c>
      <c r="K17" s="1">
        <v>14.490000000000025</v>
      </c>
      <c r="L17" s="1">
        <v>16.75</v>
      </c>
      <c r="M17" s="1">
        <v>16.870000000000037</v>
      </c>
      <c r="N17" s="1">
        <v>20.290000000000038</v>
      </c>
      <c r="O17" s="1">
        <v>20.410000000000039</v>
      </c>
      <c r="P17" s="1">
        <v>28.790000000000056</v>
      </c>
      <c r="Q17" s="7" t="s">
        <v>32</v>
      </c>
      <c r="R17" s="1">
        <f t="shared" si="19"/>
        <v>3.5700000000000101</v>
      </c>
      <c r="S17" s="1">
        <f t="shared" si="19"/>
        <v>4.5799999999999983</v>
      </c>
      <c r="T17" s="1">
        <f t="shared" ref="T17:T20" si="21">E31</f>
        <v>6.699999999999994</v>
      </c>
      <c r="U17" s="1">
        <f t="shared" ref="U17:U20" si="22">G31</f>
        <v>7.5899999999999936</v>
      </c>
      <c r="V17" s="1">
        <f t="shared" si="20"/>
        <v>10.830000000000018</v>
      </c>
      <c r="W17" s="1">
        <f t="shared" si="20"/>
        <v>14.490000000000023</v>
      </c>
      <c r="X17" s="1">
        <f t="shared" ref="X17:X20" si="23">L31</f>
        <v>16.87</v>
      </c>
      <c r="Y17" s="1">
        <f t="shared" ref="Y17:Y20" si="24">N31</f>
        <v>20.410000000000039</v>
      </c>
      <c r="Z17" s="1">
        <f t="shared" ref="Z17:Z20" si="25">P31</f>
        <v>31.040000000000056</v>
      </c>
      <c r="AA17" s="4">
        <f>SUM(D2:H5,K2:P5,D8:E11)</f>
        <v>61.600000000000009</v>
      </c>
      <c r="AB17">
        <v>15</v>
      </c>
      <c r="AC17" t="s">
        <v>67</v>
      </c>
      <c r="AD17" s="31">
        <v>0</v>
      </c>
      <c r="AE17" s="31">
        <v>0</v>
      </c>
      <c r="AF17" s="31">
        <v>1</v>
      </c>
      <c r="AG17" s="31">
        <v>1</v>
      </c>
      <c r="AH17" s="31">
        <v>1</v>
      </c>
      <c r="AI17" s="31">
        <v>1</v>
      </c>
      <c r="AJ17" s="31">
        <v>1</v>
      </c>
      <c r="AK17" s="31"/>
      <c r="AL17" s="31">
        <v>0</v>
      </c>
      <c r="AM17" s="31">
        <v>0</v>
      </c>
      <c r="AN17" s="31">
        <v>0</v>
      </c>
      <c r="AO17" s="31">
        <v>1</v>
      </c>
      <c r="AP17" s="31">
        <v>1</v>
      </c>
      <c r="AQ17" s="31">
        <v>1</v>
      </c>
      <c r="AR17" s="31">
        <v>1</v>
      </c>
      <c r="AS17" s="31"/>
      <c r="AT17" s="31">
        <v>0</v>
      </c>
      <c r="AU17" s="31">
        <v>0</v>
      </c>
      <c r="AV17" s="31">
        <v>1</v>
      </c>
      <c r="AW17" s="31">
        <v>1</v>
      </c>
      <c r="AX17" s="31">
        <v>1</v>
      </c>
      <c r="AY17" s="31">
        <v>1</v>
      </c>
      <c r="AZ17" s="31"/>
      <c r="BA17" s="31">
        <v>0</v>
      </c>
      <c r="BB17" s="31">
        <v>0</v>
      </c>
      <c r="BC17" s="31">
        <v>1</v>
      </c>
      <c r="BD17" s="31">
        <v>1</v>
      </c>
      <c r="BE17" s="31">
        <v>1</v>
      </c>
      <c r="BF17" s="31"/>
      <c r="BG17" s="31">
        <v>0</v>
      </c>
      <c r="BH17" s="31">
        <v>0</v>
      </c>
      <c r="BI17" s="31">
        <v>1</v>
      </c>
      <c r="BJ17" s="31"/>
      <c r="BK17" s="31">
        <v>0</v>
      </c>
      <c r="BL17" s="31">
        <v>0</v>
      </c>
      <c r="BM17" s="31">
        <v>1</v>
      </c>
      <c r="BN17" s="31"/>
      <c r="BO17" s="31">
        <v>0</v>
      </c>
      <c r="BP17" s="31">
        <v>1</v>
      </c>
      <c r="BQ17" s="31"/>
      <c r="BR17" s="31">
        <v>0</v>
      </c>
    </row>
    <row r="18" spans="1:70" x14ac:dyDescent="0.3">
      <c r="A18" s="1" t="s">
        <v>28</v>
      </c>
      <c r="B18" s="1">
        <v>4.7</v>
      </c>
      <c r="C18" s="1">
        <v>7.5899999999999981</v>
      </c>
      <c r="D18" s="1">
        <v>7.9400000000000039</v>
      </c>
      <c r="E18" s="1">
        <v>9.2800000000000047</v>
      </c>
      <c r="F18" s="1">
        <v>9.4</v>
      </c>
      <c r="G18" s="1">
        <v>11.720000000000013</v>
      </c>
      <c r="H18" s="1">
        <v>11.840000000000012</v>
      </c>
      <c r="I18" s="1">
        <v>14.730000000000034</v>
      </c>
      <c r="J18" s="1">
        <v>18.090000000000035</v>
      </c>
      <c r="K18" s="1">
        <v>20.290000000000035</v>
      </c>
      <c r="L18" s="1">
        <v>25.010000000000048</v>
      </c>
      <c r="M18" s="1">
        <v>25.130000000000049</v>
      </c>
      <c r="N18" s="1">
        <v>27.45</v>
      </c>
      <c r="O18" s="1">
        <v>27.570000000000057</v>
      </c>
      <c r="P18" s="1">
        <v>34.700000000000003</v>
      </c>
      <c r="Q18" t="s">
        <v>33</v>
      </c>
      <c r="R18" s="1">
        <f t="shared" si="19"/>
        <v>6.5799999999999947</v>
      </c>
      <c r="S18" s="1">
        <f t="shared" si="19"/>
        <v>7.9399999999999977</v>
      </c>
      <c r="T18" s="1">
        <f t="shared" si="21"/>
        <v>9.4000000000000039</v>
      </c>
      <c r="U18" s="1">
        <f t="shared" si="22"/>
        <v>11.840000000000012</v>
      </c>
      <c r="V18" s="1">
        <f t="shared" si="20"/>
        <v>14.730000000000034</v>
      </c>
      <c r="W18" s="1">
        <f t="shared" si="20"/>
        <v>20.290000000000035</v>
      </c>
      <c r="X18" s="1">
        <f t="shared" si="23"/>
        <v>25.130000000000049</v>
      </c>
      <c r="Y18" s="1">
        <f t="shared" si="24"/>
        <v>27.57</v>
      </c>
      <c r="Z18" s="1">
        <f t="shared" si="25"/>
        <v>36.950000000000003</v>
      </c>
      <c r="AB18">
        <v>16</v>
      </c>
      <c r="AC18" t="s">
        <v>68</v>
      </c>
      <c r="AD18" s="24">
        <v>1</v>
      </c>
      <c r="AE18" s="24">
        <v>1</v>
      </c>
      <c r="AF18" s="24">
        <v>1</v>
      </c>
      <c r="AG18" s="24">
        <v>1</v>
      </c>
      <c r="AH18" s="24">
        <v>1</v>
      </c>
      <c r="AI18" s="24">
        <v>1</v>
      </c>
      <c r="AJ18" s="24">
        <v>1</v>
      </c>
      <c r="AK18" s="24"/>
      <c r="AL18" s="24">
        <v>0</v>
      </c>
      <c r="AM18" s="24">
        <v>1</v>
      </c>
      <c r="AN18" s="24">
        <v>1</v>
      </c>
      <c r="AO18" s="24">
        <v>1</v>
      </c>
      <c r="AP18" s="24">
        <v>1</v>
      </c>
      <c r="AQ18" s="24">
        <v>1</v>
      </c>
      <c r="AR18" s="24">
        <v>1</v>
      </c>
      <c r="AS18" s="24"/>
      <c r="AT18" s="24">
        <v>0</v>
      </c>
      <c r="AU18" s="24">
        <v>1</v>
      </c>
      <c r="AV18" s="24">
        <v>1</v>
      </c>
      <c r="AW18" s="24">
        <v>1</v>
      </c>
      <c r="AX18" s="24">
        <v>1</v>
      </c>
      <c r="AY18" s="24">
        <v>1</v>
      </c>
      <c r="AZ18" s="24"/>
      <c r="BA18" s="24">
        <v>0</v>
      </c>
      <c r="BB18" s="24">
        <v>1</v>
      </c>
      <c r="BC18" s="24">
        <v>1</v>
      </c>
      <c r="BD18" s="24">
        <v>1</v>
      </c>
      <c r="BE18" s="24">
        <v>1</v>
      </c>
      <c r="BF18" s="24"/>
      <c r="BG18" s="24">
        <v>1</v>
      </c>
      <c r="BH18" s="24">
        <v>1</v>
      </c>
      <c r="BI18" s="24">
        <v>1</v>
      </c>
      <c r="BJ18" s="24"/>
      <c r="BK18" s="24">
        <v>0</v>
      </c>
      <c r="BL18" s="24">
        <v>1</v>
      </c>
      <c r="BM18" s="24">
        <v>1</v>
      </c>
      <c r="BN18" s="24"/>
      <c r="BO18" s="24">
        <v>0</v>
      </c>
      <c r="BP18" s="24">
        <v>1</v>
      </c>
      <c r="BQ18" s="24"/>
      <c r="BR18" s="24">
        <v>1</v>
      </c>
    </row>
    <row r="19" spans="1:70" x14ac:dyDescent="0.3">
      <c r="A19" s="1" t="s">
        <v>30</v>
      </c>
      <c r="B19" s="23">
        <v>7.9400000000000039</v>
      </c>
      <c r="C19" s="1">
        <v>10.830000000000018</v>
      </c>
      <c r="D19" s="1">
        <v>11.720000000000013</v>
      </c>
      <c r="E19" s="1">
        <v>14.490000000000025</v>
      </c>
      <c r="F19" s="1">
        <v>14.610000000000024</v>
      </c>
      <c r="G19" s="13">
        <v>16.630000000000031</v>
      </c>
      <c r="H19" s="1">
        <v>16.75</v>
      </c>
      <c r="I19" s="1">
        <v>20.410000000000043</v>
      </c>
      <c r="J19" s="1">
        <v>25.130000000000052</v>
      </c>
      <c r="K19" s="1">
        <v>27.330000000000052</v>
      </c>
      <c r="L19" s="1">
        <v>28.670000000000051</v>
      </c>
      <c r="M19" s="1">
        <v>28.790000000000052</v>
      </c>
      <c r="N19" s="1">
        <v>32.260000000000076</v>
      </c>
      <c r="O19" s="1">
        <v>32.380000000000074</v>
      </c>
      <c r="P19" s="1">
        <v>37.070000000000093</v>
      </c>
      <c r="Q19" t="s">
        <v>45</v>
      </c>
      <c r="R19" s="1">
        <f t="shared" si="19"/>
        <v>9.2800000000000082</v>
      </c>
      <c r="S19" s="1">
        <f t="shared" si="19"/>
        <v>11.720000000000013</v>
      </c>
      <c r="T19" s="1">
        <f t="shared" si="21"/>
        <v>14.610000000000024</v>
      </c>
      <c r="U19" s="1">
        <f t="shared" si="22"/>
        <v>16.750000000000032</v>
      </c>
      <c r="V19" s="1">
        <f t="shared" si="20"/>
        <v>20.410000000000043</v>
      </c>
      <c r="W19" s="1">
        <f t="shared" si="20"/>
        <v>27.330000000000052</v>
      </c>
      <c r="X19" s="1">
        <f t="shared" si="23"/>
        <v>28.790000000000052</v>
      </c>
      <c r="Y19" s="1">
        <f t="shared" si="24"/>
        <v>32.380000000000074</v>
      </c>
      <c r="Z19" s="1">
        <f t="shared" si="25"/>
        <v>39.320000000000093</v>
      </c>
      <c r="AB19">
        <v>17</v>
      </c>
      <c r="AC19" t="s">
        <v>70</v>
      </c>
      <c r="AD19" s="32">
        <v>1</v>
      </c>
      <c r="AE19" s="32">
        <v>1</v>
      </c>
      <c r="AF19" s="32">
        <v>1</v>
      </c>
      <c r="AG19" s="32">
        <v>1</v>
      </c>
      <c r="AH19" s="32">
        <v>0</v>
      </c>
      <c r="AI19" s="32">
        <v>0</v>
      </c>
      <c r="AJ19" s="32">
        <v>0</v>
      </c>
      <c r="AK19" s="32"/>
      <c r="AL19" s="32">
        <v>1</v>
      </c>
      <c r="AM19" s="32">
        <v>1</v>
      </c>
      <c r="AN19" s="32">
        <v>1</v>
      </c>
      <c r="AO19" s="32">
        <v>1</v>
      </c>
      <c r="AP19" s="32">
        <v>1</v>
      </c>
      <c r="AQ19" s="32">
        <v>1</v>
      </c>
      <c r="AR19" s="32">
        <v>0</v>
      </c>
      <c r="AS19" s="32"/>
      <c r="AT19" s="32">
        <v>1</v>
      </c>
      <c r="AU19" s="32">
        <v>1</v>
      </c>
      <c r="AV19" s="32">
        <v>1</v>
      </c>
      <c r="AW19" s="32">
        <v>1</v>
      </c>
      <c r="AX19" s="32">
        <v>1</v>
      </c>
      <c r="AY19" s="32">
        <v>0</v>
      </c>
      <c r="AZ19" s="32"/>
      <c r="BA19" s="32">
        <v>1</v>
      </c>
      <c r="BB19" s="32">
        <v>1</v>
      </c>
      <c r="BC19" s="32">
        <v>1</v>
      </c>
      <c r="BD19" s="32">
        <v>1</v>
      </c>
      <c r="BE19" s="32">
        <v>0</v>
      </c>
      <c r="BF19" s="32"/>
      <c r="BG19" s="32">
        <v>1</v>
      </c>
      <c r="BH19" s="32">
        <v>1</v>
      </c>
      <c r="BI19" s="32">
        <v>1</v>
      </c>
      <c r="BJ19" s="32"/>
      <c r="BK19" s="32">
        <v>1</v>
      </c>
      <c r="BL19" s="32">
        <v>1</v>
      </c>
      <c r="BM19" s="32">
        <v>1</v>
      </c>
      <c r="BN19" s="32"/>
      <c r="BO19" s="32">
        <v>1</v>
      </c>
      <c r="BP19" s="32">
        <v>1</v>
      </c>
      <c r="BQ19" s="32"/>
      <c r="BR19" s="32">
        <v>1</v>
      </c>
    </row>
    <row r="20" spans="1:70" x14ac:dyDescent="0.3">
      <c r="A20" s="1" t="s">
        <v>27</v>
      </c>
      <c r="B20" s="23">
        <v>11.840000000000018</v>
      </c>
      <c r="C20" s="1">
        <v>14.730000000000036</v>
      </c>
      <c r="D20" s="1">
        <v>16.630000000000031</v>
      </c>
      <c r="E20" s="1">
        <v>17.970000000000031</v>
      </c>
      <c r="F20" s="1">
        <v>18.090000000000032</v>
      </c>
      <c r="G20" s="13">
        <v>22.640000000000043</v>
      </c>
      <c r="H20" s="1">
        <v>22.760000000000044</v>
      </c>
      <c r="I20" s="1">
        <v>27.570000000000061</v>
      </c>
      <c r="J20" s="1">
        <v>31.040000000000056</v>
      </c>
      <c r="K20" s="1">
        <v>32.260000000000076</v>
      </c>
      <c r="L20" s="1">
        <v>33.6</v>
      </c>
      <c r="M20" s="1">
        <v>33.720000000000077</v>
      </c>
      <c r="N20" s="1">
        <v>36.950000000000003</v>
      </c>
      <c r="O20" s="1">
        <v>37.070000000000086</v>
      </c>
      <c r="P20" s="1">
        <v>40.330000000000098</v>
      </c>
      <c r="Q20" t="s">
        <v>64</v>
      </c>
      <c r="R20" s="1">
        <f t="shared" si="19"/>
        <v>12.170000000000021</v>
      </c>
      <c r="S20" s="1">
        <f t="shared" si="19"/>
        <v>16.630000000000035</v>
      </c>
      <c r="T20" s="6">
        <f t="shared" si="21"/>
        <v>18.090000000000032</v>
      </c>
      <c r="U20" s="6">
        <f t="shared" si="22"/>
        <v>22.760000000000044</v>
      </c>
      <c r="V20" s="6">
        <f t="shared" si="20"/>
        <v>28.550000000000043</v>
      </c>
      <c r="W20" s="6">
        <f t="shared" si="20"/>
        <v>32.260000000000076</v>
      </c>
      <c r="X20" s="6">
        <f t="shared" si="23"/>
        <v>33.72</v>
      </c>
      <c r="Y20" s="6">
        <f t="shared" si="24"/>
        <v>37.07</v>
      </c>
      <c r="Z20" s="6">
        <f t="shared" si="25"/>
        <v>42.580000000000098</v>
      </c>
      <c r="AB20">
        <v>18</v>
      </c>
      <c r="AC20" t="s">
        <v>69</v>
      </c>
      <c r="AD20" s="33">
        <v>1</v>
      </c>
      <c r="AE20" s="33">
        <v>1</v>
      </c>
      <c r="AF20" s="33">
        <v>1</v>
      </c>
      <c r="AG20" s="33">
        <v>0</v>
      </c>
      <c r="AH20" s="33">
        <v>0</v>
      </c>
      <c r="AI20" s="33">
        <v>0</v>
      </c>
      <c r="AJ20" s="33">
        <v>0</v>
      </c>
      <c r="AK20" s="33"/>
      <c r="AL20" s="33">
        <v>1</v>
      </c>
      <c r="AM20" s="33">
        <v>1</v>
      </c>
      <c r="AN20" s="33">
        <v>1</v>
      </c>
      <c r="AO20" s="33">
        <v>1</v>
      </c>
      <c r="AP20" s="33">
        <v>0</v>
      </c>
      <c r="AQ20" s="33">
        <v>0</v>
      </c>
      <c r="AR20" s="33">
        <v>0</v>
      </c>
      <c r="AS20" s="33"/>
      <c r="AT20" s="33">
        <v>1</v>
      </c>
      <c r="AU20" s="33">
        <v>1</v>
      </c>
      <c r="AV20" s="33">
        <v>1</v>
      </c>
      <c r="AW20" s="33">
        <v>1</v>
      </c>
      <c r="AX20" s="33">
        <v>0</v>
      </c>
      <c r="AY20" s="33">
        <v>0</v>
      </c>
      <c r="AZ20" s="33"/>
      <c r="BA20" s="33">
        <v>1</v>
      </c>
      <c r="BB20" s="33">
        <v>1</v>
      </c>
      <c r="BC20" s="33">
        <v>1</v>
      </c>
      <c r="BD20" s="33">
        <v>1</v>
      </c>
      <c r="BE20" s="33">
        <v>0</v>
      </c>
      <c r="BF20" s="33"/>
      <c r="BG20" s="33">
        <v>1</v>
      </c>
      <c r="BH20" s="33">
        <v>1</v>
      </c>
      <c r="BI20" s="33">
        <v>0</v>
      </c>
      <c r="BJ20" s="33"/>
      <c r="BK20" s="33">
        <v>1</v>
      </c>
      <c r="BL20" s="33">
        <v>1</v>
      </c>
      <c r="BM20" s="33">
        <v>1</v>
      </c>
      <c r="BN20" s="33"/>
      <c r="BO20" s="33">
        <v>1</v>
      </c>
      <c r="BP20" s="33">
        <v>1</v>
      </c>
      <c r="BQ20" s="33"/>
      <c r="BR20" s="33">
        <v>1</v>
      </c>
    </row>
    <row r="21" spans="1:70" x14ac:dyDescent="0.3">
      <c r="A21" s="1" t="s">
        <v>29</v>
      </c>
      <c r="B21" s="23">
        <v>18.090000000000035</v>
      </c>
      <c r="C21" s="1">
        <v>20.410000000000046</v>
      </c>
      <c r="D21" s="1">
        <v>22.640000000000047</v>
      </c>
      <c r="E21" s="1">
        <v>27.330000000000052</v>
      </c>
      <c r="F21" s="1">
        <v>27.45</v>
      </c>
      <c r="G21" s="13">
        <v>28.55</v>
      </c>
      <c r="H21" s="1">
        <v>28.670000000000048</v>
      </c>
      <c r="I21" s="1">
        <v>32.380000000000081</v>
      </c>
      <c r="J21" s="1">
        <v>33.720000000000084</v>
      </c>
      <c r="K21" s="1">
        <v>34.700000000000003</v>
      </c>
      <c r="L21" s="1">
        <v>39.320000000000093</v>
      </c>
      <c r="M21" s="1">
        <v>39.44000000000009</v>
      </c>
      <c r="N21" s="1">
        <v>40.210000000000093</v>
      </c>
      <c r="O21" s="1">
        <v>40.330000000000091</v>
      </c>
      <c r="P21" s="1">
        <v>42.580000000000098</v>
      </c>
      <c r="Q21" t="s">
        <v>82</v>
      </c>
      <c r="R21" s="1">
        <f t="shared" ref="R21" si="26">B35</f>
        <v>18.090000000000035</v>
      </c>
      <c r="S21" s="1">
        <f t="shared" ref="S21" si="27">C35</f>
        <v>22.640000000000047</v>
      </c>
      <c r="T21" s="1">
        <f t="shared" ref="T21" si="28">E35</f>
        <v>27.450000000000053</v>
      </c>
      <c r="U21" s="1">
        <f t="shared" ref="U21" si="29">G35</f>
        <v>28.67</v>
      </c>
      <c r="V21" s="1">
        <f t="shared" ref="V21" si="30">I35</f>
        <v>33.60000000000008</v>
      </c>
      <c r="W21" s="1">
        <f t="shared" ref="W21" si="31">J35</f>
        <v>34.700000000000088</v>
      </c>
      <c r="X21" s="1">
        <f t="shared" ref="X21" si="32">L35</f>
        <v>39.44000000000009</v>
      </c>
      <c r="Y21" s="1">
        <f t="shared" ref="Y21" si="33">N35</f>
        <v>40.330000000000091</v>
      </c>
      <c r="Z21" s="1">
        <f t="shared" ref="Z21" si="34">P35</f>
        <v>44.830000000000098</v>
      </c>
      <c r="AB21">
        <v>19</v>
      </c>
      <c r="AC21" t="s">
        <v>71</v>
      </c>
      <c r="AD21" s="31">
        <v>1</v>
      </c>
      <c r="AE21" s="31">
        <v>1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/>
      <c r="AL21" s="31">
        <v>1</v>
      </c>
      <c r="AM21" s="31">
        <v>1</v>
      </c>
      <c r="AN21" s="31">
        <v>1</v>
      </c>
      <c r="AO21" s="31">
        <v>0</v>
      </c>
      <c r="AP21" s="31">
        <v>0</v>
      </c>
      <c r="AQ21" s="31">
        <v>0</v>
      </c>
      <c r="AR21" s="31">
        <v>0</v>
      </c>
      <c r="AS21" s="31"/>
      <c r="AT21" s="31">
        <v>1</v>
      </c>
      <c r="AU21" s="31">
        <v>1</v>
      </c>
      <c r="AV21" s="31">
        <v>0</v>
      </c>
      <c r="AW21" s="31">
        <v>0</v>
      </c>
      <c r="AX21" s="31">
        <v>0</v>
      </c>
      <c r="AY21" s="31">
        <v>0</v>
      </c>
      <c r="AZ21" s="31"/>
      <c r="BA21" s="31">
        <v>1</v>
      </c>
      <c r="BB21" s="31">
        <v>1</v>
      </c>
      <c r="BC21" s="31">
        <v>0</v>
      </c>
      <c r="BD21" s="31">
        <v>0</v>
      </c>
      <c r="BE21" s="31">
        <v>0</v>
      </c>
      <c r="BF21" s="31"/>
      <c r="BG21" s="31">
        <v>1</v>
      </c>
      <c r="BH21" s="31">
        <v>1</v>
      </c>
      <c r="BI21" s="31">
        <v>0</v>
      </c>
      <c r="BJ21" s="31"/>
      <c r="BK21" s="31">
        <v>1</v>
      </c>
      <c r="BL21" s="31">
        <v>1</v>
      </c>
      <c r="BM21" s="31">
        <v>0</v>
      </c>
      <c r="BN21" s="31"/>
      <c r="BO21" s="31">
        <v>1</v>
      </c>
      <c r="BP21" s="31">
        <v>0</v>
      </c>
      <c r="BQ21" s="31"/>
      <c r="BR21" s="31">
        <v>1</v>
      </c>
    </row>
    <row r="22" spans="1:70" x14ac:dyDescent="0.3">
      <c r="A22" t="s">
        <v>19</v>
      </c>
      <c r="B22" s="15"/>
      <c r="R22" t="s">
        <v>46</v>
      </c>
      <c r="AB22">
        <v>20</v>
      </c>
      <c r="AC22" t="s">
        <v>72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/>
      <c r="AL22" s="13">
        <v>1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/>
      <c r="AT22" s="13">
        <v>1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/>
      <c r="BA22" s="13">
        <v>1</v>
      </c>
      <c r="BB22" s="13">
        <v>0</v>
      </c>
      <c r="BC22" s="13">
        <v>0</v>
      </c>
      <c r="BD22" s="13">
        <v>0</v>
      </c>
      <c r="BE22" s="13">
        <v>0</v>
      </c>
      <c r="BF22" s="13"/>
      <c r="BG22" s="13">
        <v>0</v>
      </c>
      <c r="BH22" s="13">
        <v>0</v>
      </c>
      <c r="BI22" s="13">
        <v>0</v>
      </c>
      <c r="BJ22" s="13"/>
      <c r="BK22" s="13">
        <v>1</v>
      </c>
      <c r="BL22" s="13">
        <v>0</v>
      </c>
      <c r="BM22" s="13">
        <v>0</v>
      </c>
      <c r="BN22" s="13"/>
      <c r="BO22" s="13">
        <v>1</v>
      </c>
      <c r="BP22" s="13">
        <v>0</v>
      </c>
      <c r="BQ22" s="13"/>
      <c r="BR22" s="13">
        <v>0</v>
      </c>
    </row>
    <row r="23" spans="1:70" x14ac:dyDescent="0.3">
      <c r="A23" t="s">
        <v>20</v>
      </c>
      <c r="R23" s="1"/>
      <c r="S23" s="6" t="s">
        <v>1</v>
      </c>
      <c r="T23" s="6" t="s">
        <v>2</v>
      </c>
      <c r="U23" s="6" t="s">
        <v>4</v>
      </c>
      <c r="V23" s="6" t="s">
        <v>6</v>
      </c>
      <c r="W23" s="6" t="s">
        <v>8</v>
      </c>
      <c r="X23" s="6" t="s">
        <v>9</v>
      </c>
      <c r="Y23" s="6" t="s">
        <v>11</v>
      </c>
      <c r="Z23" s="6" t="s">
        <v>13</v>
      </c>
      <c r="AA23" s="6" t="s">
        <v>15</v>
      </c>
      <c r="AB23">
        <v>21</v>
      </c>
      <c r="AC23" s="30" t="s">
        <v>83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1</v>
      </c>
      <c r="AK23" s="35"/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  <c r="AR23" s="34">
        <v>1</v>
      </c>
      <c r="AS23" s="35"/>
      <c r="AT23" s="34">
        <v>0</v>
      </c>
      <c r="AU23" s="34">
        <v>0</v>
      </c>
      <c r="AV23" s="34">
        <v>0</v>
      </c>
      <c r="AW23" s="34">
        <v>0</v>
      </c>
      <c r="AX23" s="34">
        <v>0</v>
      </c>
      <c r="AY23" s="34">
        <v>0</v>
      </c>
      <c r="AZ23" s="35"/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5"/>
      <c r="BG23" s="34">
        <v>0</v>
      </c>
      <c r="BH23" s="34">
        <v>0</v>
      </c>
      <c r="BI23" s="34">
        <v>0</v>
      </c>
      <c r="BJ23" s="35"/>
      <c r="BK23" s="34">
        <v>0</v>
      </c>
      <c r="BL23" s="34">
        <v>0</v>
      </c>
      <c r="BM23" s="34">
        <v>0</v>
      </c>
      <c r="BN23" s="35"/>
      <c r="BO23" s="34">
        <v>0</v>
      </c>
      <c r="BP23" s="34">
        <v>0</v>
      </c>
      <c r="BQ23" s="35"/>
      <c r="BR23" s="34">
        <v>0</v>
      </c>
    </row>
    <row r="24" spans="1:70" x14ac:dyDescent="0.3">
      <c r="A24" t="s">
        <v>23</v>
      </c>
      <c r="R24" s="6" t="s">
        <v>1</v>
      </c>
      <c r="S24" s="1"/>
      <c r="T24" s="1"/>
      <c r="U24" s="1">
        <f>$R$17-T2-$AA$17*(1-AD3)</f>
        <v>6.2172489379008766E-15</v>
      </c>
      <c r="V24" s="1">
        <f t="shared" ref="V24:Z24" si="35">$R$17-U2-$AA$17*(1-AE3)</f>
        <v>-1.0099999999999882</v>
      </c>
      <c r="W24" s="1">
        <f t="shared" si="35"/>
        <v>-3.1299999999999901</v>
      </c>
      <c r="X24" s="1">
        <f t="shared" si="35"/>
        <v>-5.8299999999999903</v>
      </c>
      <c r="Y24" s="1">
        <f t="shared" si="35"/>
        <v>-8.6000000000000085</v>
      </c>
      <c r="Z24" s="1">
        <f t="shared" si="35"/>
        <v>-11.04000000000002</v>
      </c>
      <c r="AA24" s="1">
        <f>$R$17-Z2-$AA$17*(1-AJ3)</f>
        <v>-19.190000000000037</v>
      </c>
      <c r="AB24">
        <v>22</v>
      </c>
      <c r="AC24" t="s">
        <v>84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1</v>
      </c>
      <c r="AJ24" s="36">
        <v>1</v>
      </c>
      <c r="AK24" s="37"/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1</v>
      </c>
      <c r="AS24" s="37"/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1</v>
      </c>
      <c r="AZ24" s="37"/>
      <c r="BA24" s="36">
        <v>0</v>
      </c>
      <c r="BB24" s="36">
        <v>0</v>
      </c>
      <c r="BC24" s="36">
        <v>0</v>
      </c>
      <c r="BD24" s="36">
        <v>0</v>
      </c>
      <c r="BE24" s="36">
        <v>1</v>
      </c>
      <c r="BF24" s="37"/>
      <c r="BG24" s="36">
        <v>0</v>
      </c>
      <c r="BH24" s="36">
        <v>0</v>
      </c>
      <c r="BI24" s="36">
        <v>0</v>
      </c>
      <c r="BJ24" s="37"/>
      <c r="BK24" s="36">
        <v>0</v>
      </c>
      <c r="BL24" s="36">
        <v>0</v>
      </c>
      <c r="BM24" s="36">
        <v>0</v>
      </c>
      <c r="BN24" s="37"/>
      <c r="BO24" s="36">
        <v>0</v>
      </c>
      <c r="BP24" s="36">
        <v>0</v>
      </c>
      <c r="BQ24" s="37"/>
      <c r="BR24" s="36">
        <v>0</v>
      </c>
    </row>
    <row r="25" spans="1:70" x14ac:dyDescent="0.3">
      <c r="A25" t="s">
        <v>24</v>
      </c>
      <c r="F25">
        <v>0</v>
      </c>
      <c r="R25" s="6" t="s">
        <v>2</v>
      </c>
      <c r="S25" s="1"/>
      <c r="T25" s="1"/>
      <c r="U25" s="1">
        <f>$S$17-T2-$AA$17*(1-AL3)</f>
        <v>-60.590000000000018</v>
      </c>
      <c r="V25" s="1">
        <f t="shared" ref="V25:Z25" si="36">$S$17-U2-$AA$17*(1-AM3)</f>
        <v>0</v>
      </c>
      <c r="W25" s="1">
        <f t="shared" si="36"/>
        <v>-2.1200000000000019</v>
      </c>
      <c r="X25" s="1">
        <f t="shared" si="36"/>
        <v>-4.8200000000000021</v>
      </c>
      <c r="Y25" s="1">
        <f t="shared" si="36"/>
        <v>-7.5900000000000194</v>
      </c>
      <c r="Z25" s="1">
        <f t="shared" si="36"/>
        <v>-10.030000000000031</v>
      </c>
      <c r="AA25" s="1">
        <f>$S$17-Z2-$AA$17*(1-AR3)</f>
        <v>-18.180000000000049</v>
      </c>
      <c r="AB25">
        <v>23</v>
      </c>
      <c r="AC25" t="s">
        <v>86</v>
      </c>
      <c r="AD25" s="32">
        <v>0</v>
      </c>
      <c r="AE25" s="32">
        <v>0</v>
      </c>
      <c r="AF25" s="32">
        <v>0</v>
      </c>
      <c r="AG25" s="32">
        <v>1</v>
      </c>
      <c r="AH25" s="32">
        <v>1</v>
      </c>
      <c r="AI25" s="32">
        <v>1</v>
      </c>
      <c r="AJ25" s="32">
        <v>1</v>
      </c>
      <c r="AK25" s="38"/>
      <c r="AL25" s="32">
        <v>0</v>
      </c>
      <c r="AM25" s="32">
        <v>0</v>
      </c>
      <c r="AN25" s="32">
        <v>0</v>
      </c>
      <c r="AO25" s="32">
        <v>0</v>
      </c>
      <c r="AP25" s="32">
        <v>1</v>
      </c>
      <c r="AQ25" s="32">
        <v>1</v>
      </c>
      <c r="AR25" s="32">
        <v>1</v>
      </c>
      <c r="AS25" s="38"/>
      <c r="AT25" s="32">
        <v>0</v>
      </c>
      <c r="AU25" s="32">
        <v>0</v>
      </c>
      <c r="AV25" s="32">
        <v>0</v>
      </c>
      <c r="AW25" s="32">
        <v>0</v>
      </c>
      <c r="AX25" s="32">
        <v>1</v>
      </c>
      <c r="AY25" s="32">
        <v>1</v>
      </c>
      <c r="AZ25" s="38"/>
      <c r="BA25" s="32">
        <v>0</v>
      </c>
      <c r="BB25" s="32">
        <v>0</v>
      </c>
      <c r="BC25" s="32">
        <v>0</v>
      </c>
      <c r="BD25" s="32">
        <v>0</v>
      </c>
      <c r="BE25" s="32">
        <v>1</v>
      </c>
      <c r="BF25" s="38"/>
      <c r="BG25" s="32">
        <v>0</v>
      </c>
      <c r="BH25" s="32">
        <v>0</v>
      </c>
      <c r="BI25" s="32">
        <v>1</v>
      </c>
      <c r="BJ25" s="38"/>
      <c r="BK25" s="32">
        <v>0</v>
      </c>
      <c r="BL25" s="32">
        <v>0</v>
      </c>
      <c r="BM25" s="32">
        <v>1</v>
      </c>
      <c r="BN25" s="38"/>
      <c r="BO25" s="32">
        <v>0</v>
      </c>
      <c r="BP25" s="32">
        <v>0</v>
      </c>
      <c r="BQ25" s="38"/>
      <c r="BR25" s="32">
        <v>0</v>
      </c>
    </row>
    <row r="26" spans="1:70" x14ac:dyDescent="0.3">
      <c r="R26" s="6" t="s">
        <v>4</v>
      </c>
      <c r="S26" s="1"/>
      <c r="T26" s="1"/>
      <c r="U26" s="1"/>
      <c r="V26" s="1">
        <f>$T$17-U2-$AA$17*(1-AT3)</f>
        <v>-59.480000000000011</v>
      </c>
      <c r="W26" s="1">
        <f t="shared" ref="W26:Z26" si="37">$T$17-V2-$AA$17*(1-AU3)</f>
        <v>-6.2172489379008766E-15</v>
      </c>
      <c r="X26" s="1">
        <f t="shared" si="37"/>
        <v>-2.7000000000000064</v>
      </c>
      <c r="Y26" s="1">
        <f t="shared" si="37"/>
        <v>-5.4700000000000237</v>
      </c>
      <c r="Z26" s="1">
        <f t="shared" si="37"/>
        <v>-7.9100000000000357</v>
      </c>
      <c r="AA26" s="1">
        <f>$T$17-Z2-$AA$17*(1-AY3)</f>
        <v>-16.060000000000052</v>
      </c>
      <c r="AB26">
        <v>24</v>
      </c>
      <c r="AC26" t="s">
        <v>85</v>
      </c>
      <c r="AD26" s="13">
        <v>0</v>
      </c>
      <c r="AE26" s="13">
        <v>0</v>
      </c>
      <c r="AF26" s="13">
        <v>1</v>
      </c>
      <c r="AG26" s="13">
        <v>1</v>
      </c>
      <c r="AH26" s="13">
        <v>1</v>
      </c>
      <c r="AI26" s="13">
        <v>1</v>
      </c>
      <c r="AJ26" s="13">
        <v>1</v>
      </c>
      <c r="AK26" s="2"/>
      <c r="AL26" s="13">
        <v>0</v>
      </c>
      <c r="AM26" s="13">
        <v>0</v>
      </c>
      <c r="AN26" s="13">
        <v>0</v>
      </c>
      <c r="AO26" s="13">
        <v>1</v>
      </c>
      <c r="AP26" s="13">
        <v>1</v>
      </c>
      <c r="AQ26" s="13">
        <v>1</v>
      </c>
      <c r="AR26" s="13">
        <v>1</v>
      </c>
      <c r="AS26" s="2"/>
      <c r="AT26" s="13">
        <v>0</v>
      </c>
      <c r="AU26" s="13">
        <v>0</v>
      </c>
      <c r="AV26" s="13">
        <v>0</v>
      </c>
      <c r="AW26" s="13">
        <v>1</v>
      </c>
      <c r="AX26" s="13">
        <v>1</v>
      </c>
      <c r="AY26" s="13">
        <v>1</v>
      </c>
      <c r="AZ26" s="2"/>
      <c r="BA26" s="13">
        <v>0</v>
      </c>
      <c r="BB26" s="13">
        <v>0</v>
      </c>
      <c r="BC26" s="13">
        <v>1</v>
      </c>
      <c r="BD26" s="13">
        <v>1</v>
      </c>
      <c r="BE26" s="13">
        <v>1</v>
      </c>
      <c r="BF26" s="2"/>
      <c r="BG26" s="13">
        <v>0</v>
      </c>
      <c r="BH26" s="13">
        <v>0</v>
      </c>
      <c r="BI26" s="13">
        <v>1</v>
      </c>
      <c r="BJ26" s="2"/>
      <c r="BK26" s="13">
        <v>0</v>
      </c>
      <c r="BL26" s="13">
        <v>0</v>
      </c>
      <c r="BM26" s="13">
        <v>1</v>
      </c>
      <c r="BN26" s="2"/>
      <c r="BO26" s="13">
        <v>0</v>
      </c>
      <c r="BP26" s="13">
        <v>0</v>
      </c>
      <c r="BQ26" s="2"/>
      <c r="BR26" s="13">
        <v>0</v>
      </c>
    </row>
    <row r="27" spans="1:70" x14ac:dyDescent="0.3">
      <c r="R27" s="6" t="s">
        <v>6</v>
      </c>
      <c r="S27" s="1"/>
      <c r="T27" s="1"/>
      <c r="U27" s="1"/>
      <c r="V27" s="1"/>
      <c r="W27" s="1">
        <f>$U$17-V2-$AA$17*(1-BA3)</f>
        <v>-60.710000000000015</v>
      </c>
      <c r="X27" s="1">
        <f t="shared" ref="X27:Z27" si="38">$U$17-W2-$AA$17*(1-BB3)</f>
        <v>-1.8100000000000067</v>
      </c>
      <c r="Y27" s="1">
        <f t="shared" si="38"/>
        <v>-4.5800000000000241</v>
      </c>
      <c r="Z27" s="1">
        <f t="shared" si="38"/>
        <v>-7.020000000000036</v>
      </c>
      <c r="AA27" s="1">
        <f>$U$17-Z2-$AA$17*(1-BE3)</f>
        <v>-15.170000000000055</v>
      </c>
      <c r="AB27">
        <v>25</v>
      </c>
      <c r="AC27" t="s">
        <v>87</v>
      </c>
      <c r="AD27" s="6">
        <v>0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3"/>
      <c r="AL27" s="6">
        <v>0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3"/>
      <c r="AT27" s="6">
        <v>0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3"/>
      <c r="BA27" s="6">
        <v>0</v>
      </c>
      <c r="BB27" s="6">
        <v>1</v>
      </c>
      <c r="BC27" s="6">
        <v>1</v>
      </c>
      <c r="BD27" s="6">
        <v>1</v>
      </c>
      <c r="BE27" s="6">
        <v>1</v>
      </c>
      <c r="BF27" s="3"/>
      <c r="BG27" s="6">
        <v>1</v>
      </c>
      <c r="BH27" s="6">
        <v>1</v>
      </c>
      <c r="BI27" s="6">
        <v>1</v>
      </c>
      <c r="BJ27" s="3"/>
      <c r="BK27" s="6">
        <v>0</v>
      </c>
      <c r="BL27" s="6">
        <v>1</v>
      </c>
      <c r="BM27" s="6">
        <v>1</v>
      </c>
      <c r="BN27" s="3"/>
      <c r="BO27" s="6">
        <v>0</v>
      </c>
      <c r="BP27" s="6">
        <v>1</v>
      </c>
      <c r="BQ27" s="3"/>
      <c r="BR27" s="6">
        <v>1</v>
      </c>
    </row>
    <row r="28" spans="1:70" x14ac:dyDescent="0.3">
      <c r="A28" t="s">
        <v>21</v>
      </c>
      <c r="R28" s="6" t="s">
        <v>8</v>
      </c>
      <c r="S28" s="1"/>
      <c r="T28" s="1"/>
      <c r="U28" s="1"/>
      <c r="V28" s="1"/>
      <c r="W28" s="1"/>
      <c r="X28" s="1"/>
      <c r="Y28" s="1">
        <f>$V$17-X2-$AA$17*(1-BG3)</f>
        <v>-1.3399999999999999</v>
      </c>
      <c r="Z28" s="1">
        <f t="shared" ref="Z28:AA28" si="39">$V$17-Y2-$AA$17*(1-BH3)</f>
        <v>-3.7800000000000118</v>
      </c>
      <c r="AA28" s="1">
        <f t="shared" si="39"/>
        <v>-11.93000000000003</v>
      </c>
      <c r="AB28">
        <v>26</v>
      </c>
      <c r="AC28" t="s">
        <v>89</v>
      </c>
      <c r="AD28" s="31">
        <v>1</v>
      </c>
      <c r="AE28" s="31">
        <v>1</v>
      </c>
      <c r="AF28" s="31">
        <v>1</v>
      </c>
      <c r="AG28" s="31">
        <v>1</v>
      </c>
      <c r="AH28" s="31">
        <v>1</v>
      </c>
      <c r="AI28" s="31">
        <v>1</v>
      </c>
      <c r="AJ28" s="31">
        <v>0</v>
      </c>
      <c r="AK28" s="39"/>
      <c r="AL28" s="31">
        <v>1</v>
      </c>
      <c r="AM28" s="31">
        <v>1</v>
      </c>
      <c r="AN28" s="31">
        <v>1</v>
      </c>
      <c r="AO28" s="31">
        <v>1</v>
      </c>
      <c r="AP28" s="31">
        <v>1</v>
      </c>
      <c r="AQ28" s="31">
        <v>1</v>
      </c>
      <c r="AR28" s="31">
        <v>0</v>
      </c>
      <c r="AS28" s="39"/>
      <c r="AT28" s="31">
        <v>1</v>
      </c>
      <c r="AU28" s="31">
        <v>1</v>
      </c>
      <c r="AV28" s="31">
        <v>1</v>
      </c>
      <c r="AW28" s="31">
        <v>1</v>
      </c>
      <c r="AX28" s="31">
        <v>1</v>
      </c>
      <c r="AY28" s="31">
        <v>1</v>
      </c>
      <c r="AZ28" s="39"/>
      <c r="BA28" s="31">
        <v>1</v>
      </c>
      <c r="BB28" s="31">
        <v>1</v>
      </c>
      <c r="BC28" s="31">
        <v>1</v>
      </c>
      <c r="BD28" s="31">
        <v>1</v>
      </c>
      <c r="BE28" s="31">
        <v>1</v>
      </c>
      <c r="BF28" s="39"/>
      <c r="BG28" s="31">
        <v>1</v>
      </c>
      <c r="BH28" s="31">
        <v>1</v>
      </c>
      <c r="BI28" s="31">
        <v>1</v>
      </c>
      <c r="BJ28" s="39"/>
      <c r="BK28" s="31">
        <v>1</v>
      </c>
      <c r="BL28" s="31">
        <v>1</v>
      </c>
      <c r="BM28" s="31">
        <v>1</v>
      </c>
      <c r="BN28" s="39"/>
      <c r="BO28" s="31">
        <v>1</v>
      </c>
      <c r="BP28" s="31">
        <v>1</v>
      </c>
      <c r="BQ28" s="39"/>
      <c r="BR28" s="31">
        <v>1</v>
      </c>
    </row>
    <row r="29" spans="1:70" x14ac:dyDescent="0.3">
      <c r="B29" s="3" t="s">
        <v>1</v>
      </c>
      <c r="C29" s="3" t="s">
        <v>2</v>
      </c>
      <c r="D29" t="s">
        <v>3</v>
      </c>
      <c r="E29" s="3" t="s">
        <v>4</v>
      </c>
      <c r="F29" t="s">
        <v>5</v>
      </c>
      <c r="G29" s="3" t="s">
        <v>6</v>
      </c>
      <c r="H29" t="s">
        <v>7</v>
      </c>
      <c r="I29" s="3" t="s">
        <v>8</v>
      </c>
      <c r="J29" s="3" t="s">
        <v>9</v>
      </c>
      <c r="K29" t="s">
        <v>10</v>
      </c>
      <c r="L29" s="3" t="s">
        <v>11</v>
      </c>
      <c r="M29" t="s">
        <v>12</v>
      </c>
      <c r="N29" s="3" t="s">
        <v>13</v>
      </c>
      <c r="O29" t="s">
        <v>14</v>
      </c>
      <c r="P29" s="3" t="s">
        <v>15</v>
      </c>
      <c r="R29" s="6" t="s">
        <v>9</v>
      </c>
      <c r="S29" s="1"/>
      <c r="T29" s="1"/>
      <c r="U29" s="1"/>
      <c r="V29" s="1"/>
      <c r="W29" s="1"/>
      <c r="X29" s="1"/>
      <c r="Y29" s="1">
        <f>$W$17-X2-$AA$17*(1-BK3)</f>
        <v>-59.28</v>
      </c>
      <c r="Z29" s="1">
        <f t="shared" ref="Z29:AA29" si="40">$W$17-Y2-$AA$17*(1-BL3)</f>
        <v>-0.12000000000000632</v>
      </c>
      <c r="AA29" s="1">
        <f t="shared" si="40"/>
        <v>-8.2700000000000244</v>
      </c>
      <c r="AB29">
        <v>27</v>
      </c>
      <c r="AC29" t="s">
        <v>88</v>
      </c>
      <c r="AD29" s="24">
        <v>1</v>
      </c>
      <c r="AE29" s="24">
        <v>1</v>
      </c>
      <c r="AF29" s="24">
        <v>1</v>
      </c>
      <c r="AG29" s="24">
        <v>1</v>
      </c>
      <c r="AH29" s="24">
        <v>1</v>
      </c>
      <c r="AI29" s="24">
        <v>0</v>
      </c>
      <c r="AJ29" s="24">
        <v>0</v>
      </c>
      <c r="AK29" s="4"/>
      <c r="AL29" s="24">
        <v>1</v>
      </c>
      <c r="AM29" s="24">
        <v>1</v>
      </c>
      <c r="AN29" s="24">
        <v>1</v>
      </c>
      <c r="AO29" s="24">
        <v>1</v>
      </c>
      <c r="AP29" s="24">
        <v>1</v>
      </c>
      <c r="AQ29" s="24">
        <v>1</v>
      </c>
      <c r="AR29" s="24">
        <v>0</v>
      </c>
      <c r="AS29" s="4"/>
      <c r="AT29" s="24">
        <v>1</v>
      </c>
      <c r="AU29" s="24">
        <v>1</v>
      </c>
      <c r="AV29" s="24">
        <v>1</v>
      </c>
      <c r="AW29" s="24">
        <v>1</v>
      </c>
      <c r="AX29" s="24">
        <v>1</v>
      </c>
      <c r="AY29" s="24">
        <v>0</v>
      </c>
      <c r="AZ29" s="4"/>
      <c r="BA29" s="24">
        <v>1</v>
      </c>
      <c r="BB29" s="24">
        <v>1</v>
      </c>
      <c r="BC29" s="24">
        <v>1</v>
      </c>
      <c r="BD29" s="24">
        <v>1</v>
      </c>
      <c r="BE29" s="24">
        <v>0</v>
      </c>
      <c r="BF29" s="4"/>
      <c r="BG29" s="24">
        <v>1</v>
      </c>
      <c r="BH29" s="24">
        <v>1</v>
      </c>
      <c r="BI29" s="24">
        <v>1</v>
      </c>
      <c r="BJ29" s="4"/>
      <c r="BK29" s="24">
        <v>1</v>
      </c>
      <c r="BL29" s="24">
        <v>1</v>
      </c>
      <c r="BM29" s="24">
        <v>1</v>
      </c>
      <c r="BN29" s="4"/>
      <c r="BO29" s="24">
        <v>1</v>
      </c>
      <c r="BP29" s="24">
        <v>1</v>
      </c>
      <c r="BQ29" s="4"/>
      <c r="BR29" s="24">
        <v>1</v>
      </c>
    </row>
    <row r="30" spans="1:70" x14ac:dyDescent="0.3">
      <c r="A30" s="1" t="s">
        <v>16</v>
      </c>
      <c r="B30" s="1">
        <f t="shared" ref="B30:B35" si="41">B2+B16</f>
        <v>0</v>
      </c>
      <c r="C30" s="1">
        <f t="shared" ref="C30:O35" si="42">C2+C16</f>
        <v>2.23</v>
      </c>
      <c r="D30" s="1">
        <f t="shared" si="42"/>
        <v>3.5700000000000003</v>
      </c>
      <c r="E30" s="1">
        <f t="shared" si="42"/>
        <v>3.6900000000000039</v>
      </c>
      <c r="F30" s="1">
        <f t="shared" si="42"/>
        <v>4.4600000000000044</v>
      </c>
      <c r="G30" s="1">
        <f t="shared" si="42"/>
        <v>4.6999999999999984</v>
      </c>
      <c r="H30" s="1">
        <f t="shared" si="42"/>
        <v>6.7</v>
      </c>
      <c r="I30" s="1">
        <f t="shared" si="42"/>
        <v>7.4699999999999918</v>
      </c>
      <c r="J30" s="1">
        <f t="shared" si="42"/>
        <v>10.830000000000009</v>
      </c>
      <c r="K30" s="1">
        <f t="shared" si="42"/>
        <v>12.170000000000018</v>
      </c>
      <c r="L30" s="1">
        <f t="shared" si="42"/>
        <v>12.290000000000017</v>
      </c>
      <c r="M30" s="1">
        <f t="shared" si="42"/>
        <v>13.060000000000016</v>
      </c>
      <c r="N30" s="1">
        <f t="shared" si="42"/>
        <v>14.730000000000029</v>
      </c>
      <c r="O30" s="1">
        <f t="shared" si="42"/>
        <v>16.730000000000029</v>
      </c>
      <c r="P30" s="11">
        <f t="shared" ref="P30:P35" si="43">P2+P16</f>
        <v>25.010000000000048</v>
      </c>
      <c r="R30" s="6" t="s">
        <v>11</v>
      </c>
      <c r="S30" s="1"/>
      <c r="T30" s="1"/>
      <c r="U30" s="1"/>
      <c r="V30" s="1"/>
      <c r="W30" s="1"/>
      <c r="X30" s="1"/>
      <c r="Y30" s="1"/>
      <c r="Z30" s="1">
        <f>$X$17-Y2-$AA$17*(1-BO3)</f>
        <v>-59.340000000000039</v>
      </c>
      <c r="AA30" s="1">
        <f>$X$17-Z2-$AA$17*(1-BP3)</f>
        <v>-5.8900000000000468</v>
      </c>
      <c r="AB30">
        <v>28</v>
      </c>
      <c r="AC30" t="s">
        <v>90</v>
      </c>
      <c r="AD30" s="34">
        <v>1</v>
      </c>
      <c r="AE30" s="34">
        <v>1</v>
      </c>
      <c r="AF30" s="34">
        <v>1</v>
      </c>
      <c r="AG30" s="34">
        <v>0</v>
      </c>
      <c r="AH30" s="34">
        <v>0</v>
      </c>
      <c r="AI30" s="34">
        <v>0</v>
      </c>
      <c r="AJ30" s="34">
        <v>0</v>
      </c>
      <c r="AK30" s="35"/>
      <c r="AL30" s="34">
        <v>1</v>
      </c>
      <c r="AM30" s="34">
        <v>1</v>
      </c>
      <c r="AN30" s="34">
        <v>1</v>
      </c>
      <c r="AO30" s="34">
        <v>1</v>
      </c>
      <c r="AP30" s="34">
        <v>0</v>
      </c>
      <c r="AQ30" s="34">
        <v>0</v>
      </c>
      <c r="AR30" s="34">
        <v>0</v>
      </c>
      <c r="AS30" s="35"/>
      <c r="AT30" s="34">
        <v>1</v>
      </c>
      <c r="AU30" s="34">
        <v>1</v>
      </c>
      <c r="AV30" s="34">
        <v>1</v>
      </c>
      <c r="AW30" s="34">
        <v>1</v>
      </c>
      <c r="AX30" s="34">
        <v>0</v>
      </c>
      <c r="AY30" s="34">
        <v>0</v>
      </c>
      <c r="AZ30" s="35"/>
      <c r="BA30" s="34">
        <v>1</v>
      </c>
      <c r="BB30" s="34">
        <v>1</v>
      </c>
      <c r="BC30" s="34">
        <v>1</v>
      </c>
      <c r="BD30" s="34">
        <v>1</v>
      </c>
      <c r="BE30" s="34">
        <v>0</v>
      </c>
      <c r="BF30" s="35"/>
      <c r="BG30" s="34">
        <v>1</v>
      </c>
      <c r="BH30" s="34">
        <v>1</v>
      </c>
      <c r="BI30" s="34">
        <v>0</v>
      </c>
      <c r="BJ30" s="35"/>
      <c r="BK30" s="34">
        <v>1</v>
      </c>
      <c r="BL30" s="34">
        <v>1</v>
      </c>
      <c r="BM30" s="34">
        <v>0</v>
      </c>
      <c r="BN30" s="35"/>
      <c r="BO30" s="34">
        <v>1</v>
      </c>
      <c r="BP30" s="34">
        <v>1</v>
      </c>
      <c r="BQ30" s="35"/>
      <c r="BR30" s="34">
        <v>1</v>
      </c>
    </row>
    <row r="31" spans="1:70" x14ac:dyDescent="0.3">
      <c r="A31" s="1" t="s">
        <v>18</v>
      </c>
      <c r="B31" s="1">
        <f t="shared" si="41"/>
        <v>3.5700000000000101</v>
      </c>
      <c r="C31" s="1">
        <f t="shared" si="42"/>
        <v>4.5799999999999983</v>
      </c>
      <c r="D31" s="1">
        <f t="shared" si="42"/>
        <v>5.9199999999999973</v>
      </c>
      <c r="E31" s="1">
        <f t="shared" si="42"/>
        <v>6.699999999999994</v>
      </c>
      <c r="F31" s="1">
        <f t="shared" si="42"/>
        <v>7.4700000000000006</v>
      </c>
      <c r="G31" s="1">
        <f t="shared" si="42"/>
        <v>7.5899999999999936</v>
      </c>
      <c r="H31" s="1">
        <f t="shared" si="42"/>
        <v>9.5899999999999928</v>
      </c>
      <c r="I31" s="1">
        <f t="shared" si="42"/>
        <v>10.830000000000018</v>
      </c>
      <c r="J31" s="1">
        <f t="shared" si="42"/>
        <v>14.490000000000023</v>
      </c>
      <c r="K31" s="1">
        <f t="shared" si="42"/>
        <v>15.830000000000025</v>
      </c>
      <c r="L31" s="1">
        <f t="shared" si="42"/>
        <v>16.87</v>
      </c>
      <c r="M31" s="1">
        <f t="shared" si="42"/>
        <v>17.640000000000036</v>
      </c>
      <c r="N31" s="13">
        <f t="shared" si="42"/>
        <v>20.410000000000039</v>
      </c>
      <c r="O31" s="1">
        <f t="shared" si="42"/>
        <v>22.410000000000039</v>
      </c>
      <c r="P31" s="11">
        <f t="shared" si="43"/>
        <v>31.040000000000056</v>
      </c>
      <c r="R31" s="6" t="s">
        <v>13</v>
      </c>
      <c r="S31" s="1"/>
      <c r="T31" s="1"/>
      <c r="U31" s="1"/>
      <c r="V31" s="1"/>
      <c r="W31" s="1"/>
      <c r="X31" s="1"/>
      <c r="Y31" s="1"/>
      <c r="Z31" s="1"/>
      <c r="AA31" s="1">
        <f>$Y$17-Z2-$AA$17*(1-BR3)</f>
        <v>-2.3500000000000085</v>
      </c>
      <c r="AB31">
        <v>29</v>
      </c>
      <c r="AC31" t="s">
        <v>91</v>
      </c>
      <c r="AD31" s="40">
        <v>1</v>
      </c>
      <c r="AE31" s="40">
        <v>1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1"/>
      <c r="AL31" s="40">
        <v>1</v>
      </c>
      <c r="AM31" s="40">
        <v>1</v>
      </c>
      <c r="AN31" s="40">
        <v>1</v>
      </c>
      <c r="AO31" s="40">
        <v>0</v>
      </c>
      <c r="AP31" s="40">
        <v>0</v>
      </c>
      <c r="AQ31" s="40">
        <v>0</v>
      </c>
      <c r="AR31" s="40">
        <v>0</v>
      </c>
      <c r="AS31" s="41"/>
      <c r="AT31" s="40">
        <v>1</v>
      </c>
      <c r="AU31" s="40">
        <v>1</v>
      </c>
      <c r="AV31" s="40">
        <v>1</v>
      </c>
      <c r="AW31" s="40">
        <v>0</v>
      </c>
      <c r="AX31" s="40">
        <v>0</v>
      </c>
      <c r="AY31" s="40">
        <v>0</v>
      </c>
      <c r="AZ31" s="41"/>
      <c r="BA31" s="40">
        <v>1</v>
      </c>
      <c r="BB31" s="40">
        <v>1</v>
      </c>
      <c r="BC31" s="40">
        <v>0</v>
      </c>
      <c r="BD31" s="40">
        <v>0</v>
      </c>
      <c r="BE31" s="40">
        <v>0</v>
      </c>
      <c r="BF31" s="41"/>
      <c r="BG31" s="40">
        <v>1</v>
      </c>
      <c r="BH31" s="40">
        <v>1</v>
      </c>
      <c r="BI31" s="40">
        <v>0</v>
      </c>
      <c r="BJ31" s="41"/>
      <c r="BK31" s="40">
        <v>1</v>
      </c>
      <c r="BL31" s="40">
        <v>1</v>
      </c>
      <c r="BM31" s="40">
        <v>0</v>
      </c>
      <c r="BN31" s="41"/>
      <c r="BO31" s="40">
        <v>1</v>
      </c>
      <c r="BP31" s="40">
        <v>1</v>
      </c>
      <c r="BQ31" s="41"/>
      <c r="BR31" s="40">
        <v>1</v>
      </c>
    </row>
    <row r="32" spans="1:70" x14ac:dyDescent="0.3">
      <c r="A32" s="1" t="s">
        <v>28</v>
      </c>
      <c r="B32" s="1">
        <f t="shared" si="41"/>
        <v>6.5799999999999947</v>
      </c>
      <c r="C32" s="1">
        <f t="shared" si="42"/>
        <v>7.9399999999999977</v>
      </c>
      <c r="D32" s="1">
        <f t="shared" si="42"/>
        <v>9.2800000000000047</v>
      </c>
      <c r="E32" s="1">
        <f t="shared" si="42"/>
        <v>9.4000000000000039</v>
      </c>
      <c r="F32" s="1">
        <f t="shared" si="42"/>
        <v>10.17</v>
      </c>
      <c r="G32" s="1">
        <f t="shared" si="42"/>
        <v>11.840000000000012</v>
      </c>
      <c r="H32" s="1">
        <f t="shared" si="42"/>
        <v>13.840000000000012</v>
      </c>
      <c r="I32" s="1">
        <f t="shared" si="42"/>
        <v>14.730000000000034</v>
      </c>
      <c r="J32" s="1">
        <f t="shared" si="42"/>
        <v>20.290000000000035</v>
      </c>
      <c r="K32" s="1">
        <f t="shared" si="42"/>
        <v>21.630000000000035</v>
      </c>
      <c r="L32" s="1">
        <f t="shared" si="42"/>
        <v>25.130000000000049</v>
      </c>
      <c r="M32" s="1">
        <f t="shared" si="42"/>
        <v>25.900000000000048</v>
      </c>
      <c r="N32" s="1">
        <f t="shared" si="42"/>
        <v>27.57</v>
      </c>
      <c r="O32" s="1">
        <f t="shared" si="42"/>
        <v>29.570000000000057</v>
      </c>
      <c r="P32" s="1">
        <f t="shared" si="43"/>
        <v>36.950000000000003</v>
      </c>
      <c r="R32" s="6" t="s">
        <v>15</v>
      </c>
      <c r="S32" s="1"/>
      <c r="T32" s="1"/>
      <c r="U32" s="1"/>
      <c r="V32" s="1"/>
      <c r="W32" s="1"/>
      <c r="X32" s="1"/>
      <c r="Y32" s="1"/>
      <c r="Z32" s="1"/>
      <c r="AA32" s="1"/>
      <c r="AB32">
        <v>30</v>
      </c>
      <c r="AC32" t="s">
        <v>92</v>
      </c>
      <c r="AD32" s="31">
        <v>1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9"/>
      <c r="AL32" s="31">
        <v>1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9"/>
      <c r="AT32" s="31">
        <v>1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9"/>
      <c r="BA32" s="31">
        <v>1</v>
      </c>
      <c r="BB32" s="31">
        <v>0</v>
      </c>
      <c r="BC32" s="31">
        <v>0</v>
      </c>
      <c r="BD32" s="31">
        <v>0</v>
      </c>
      <c r="BE32" s="31">
        <v>0</v>
      </c>
      <c r="BF32" s="39"/>
      <c r="BG32" s="31">
        <v>0</v>
      </c>
      <c r="BH32" s="31">
        <v>0</v>
      </c>
      <c r="BI32" s="31">
        <v>0</v>
      </c>
      <c r="BJ32" s="39"/>
      <c r="BK32" s="31">
        <v>1</v>
      </c>
      <c r="BL32" s="31">
        <v>0</v>
      </c>
      <c r="BM32" s="31">
        <v>0</v>
      </c>
      <c r="BN32" s="39"/>
      <c r="BO32" s="31">
        <v>1</v>
      </c>
      <c r="BP32" s="31">
        <v>0</v>
      </c>
      <c r="BQ32" s="39"/>
      <c r="BR32" s="31">
        <v>0</v>
      </c>
    </row>
    <row r="33" spans="1:70" x14ac:dyDescent="0.3">
      <c r="A33" s="1" t="s">
        <v>30</v>
      </c>
      <c r="B33" s="1">
        <f t="shared" si="41"/>
        <v>9.2800000000000082</v>
      </c>
      <c r="C33" s="1">
        <f t="shared" si="42"/>
        <v>11.720000000000013</v>
      </c>
      <c r="D33" s="1">
        <f t="shared" si="42"/>
        <v>13.060000000000013</v>
      </c>
      <c r="E33" s="1">
        <f t="shared" si="42"/>
        <v>14.610000000000024</v>
      </c>
      <c r="F33" s="1">
        <f t="shared" si="42"/>
        <v>15.380000000000024</v>
      </c>
      <c r="G33" s="1">
        <f t="shared" si="42"/>
        <v>16.750000000000032</v>
      </c>
      <c r="H33" s="1">
        <f t="shared" si="42"/>
        <v>18.75</v>
      </c>
      <c r="I33" s="1">
        <f t="shared" si="42"/>
        <v>20.410000000000043</v>
      </c>
      <c r="J33" s="1">
        <f t="shared" si="42"/>
        <v>27.330000000000052</v>
      </c>
      <c r="K33" s="1">
        <f t="shared" si="42"/>
        <v>28.670000000000051</v>
      </c>
      <c r="L33" s="1">
        <f t="shared" si="42"/>
        <v>28.790000000000052</v>
      </c>
      <c r="M33" s="1">
        <f t="shared" si="42"/>
        <v>29.560000000000052</v>
      </c>
      <c r="N33" s="1">
        <f t="shared" si="42"/>
        <v>32.380000000000074</v>
      </c>
      <c r="O33" s="1">
        <f t="shared" si="42"/>
        <v>34.380000000000074</v>
      </c>
      <c r="P33" s="1">
        <f t="shared" si="43"/>
        <v>39.320000000000093</v>
      </c>
      <c r="AD33" s="1"/>
      <c r="AE33" s="1"/>
      <c r="AF33" s="1"/>
      <c r="AG33" s="1"/>
      <c r="AH33" s="1"/>
      <c r="AI33" s="1"/>
      <c r="AJ33" s="1"/>
      <c r="AL33" s="1"/>
      <c r="AM33" s="1"/>
      <c r="AN33" s="1"/>
      <c r="AO33" s="1"/>
      <c r="AP33" s="1"/>
      <c r="AQ33" s="1"/>
      <c r="AR33" s="1"/>
      <c r="AT33" s="1"/>
      <c r="AU33" s="1"/>
      <c r="AV33" s="1"/>
      <c r="AW33" s="1"/>
      <c r="AX33" s="1"/>
      <c r="AY33" s="1"/>
      <c r="BA33" s="1"/>
      <c r="BB33" s="1"/>
      <c r="BC33" s="1"/>
      <c r="BD33" s="1"/>
      <c r="BE33" s="1"/>
      <c r="BG33" s="1"/>
      <c r="BH33" s="1"/>
      <c r="BI33" s="1"/>
      <c r="BK33" s="1"/>
      <c r="BL33" s="1"/>
      <c r="BM33" s="1"/>
      <c r="BO33" s="1"/>
      <c r="BP33" s="1"/>
      <c r="BR33" s="1"/>
    </row>
    <row r="34" spans="1:70" x14ac:dyDescent="0.3">
      <c r="A34" s="1" t="s">
        <v>27</v>
      </c>
      <c r="B34" s="1">
        <f t="shared" si="41"/>
        <v>12.170000000000021</v>
      </c>
      <c r="C34" s="1">
        <f t="shared" si="42"/>
        <v>16.630000000000035</v>
      </c>
      <c r="D34" s="1">
        <f t="shared" si="42"/>
        <v>17.970000000000031</v>
      </c>
      <c r="E34" s="1">
        <f t="shared" si="42"/>
        <v>18.090000000000032</v>
      </c>
      <c r="F34" s="1">
        <f t="shared" si="42"/>
        <v>18.860000000000031</v>
      </c>
      <c r="G34" s="1">
        <f t="shared" si="42"/>
        <v>22.760000000000044</v>
      </c>
      <c r="H34" s="1">
        <f t="shared" si="42"/>
        <v>24.760000000000044</v>
      </c>
      <c r="I34" s="1">
        <f t="shared" si="42"/>
        <v>28.550000000000043</v>
      </c>
      <c r="J34" s="1">
        <f t="shared" si="42"/>
        <v>32.260000000000076</v>
      </c>
      <c r="K34" s="1">
        <f t="shared" si="42"/>
        <v>33.60000000000008</v>
      </c>
      <c r="L34" s="1">
        <f t="shared" si="42"/>
        <v>33.72</v>
      </c>
      <c r="M34" s="1">
        <f t="shared" si="42"/>
        <v>34.49000000000008</v>
      </c>
      <c r="N34" s="1">
        <f t="shared" si="42"/>
        <v>37.07</v>
      </c>
      <c r="O34" s="1">
        <f t="shared" si="42"/>
        <v>39.070000000000086</v>
      </c>
      <c r="P34" s="1">
        <f t="shared" si="43"/>
        <v>42.580000000000098</v>
      </c>
      <c r="R34" t="s">
        <v>37</v>
      </c>
      <c r="AC34" t="s">
        <v>47</v>
      </c>
      <c r="AD34" s="1">
        <f>SUM(AD3,AD6)</f>
        <v>1</v>
      </c>
      <c r="AE34" s="1">
        <f t="shared" ref="AE34:BR34" si="44">SUM(AE3,AE6)</f>
        <v>1</v>
      </c>
      <c r="AF34" s="1">
        <f t="shared" si="44"/>
        <v>1</v>
      </c>
      <c r="AG34" s="1">
        <f t="shared" si="44"/>
        <v>1</v>
      </c>
      <c r="AH34" s="1">
        <f t="shared" si="44"/>
        <v>1</v>
      </c>
      <c r="AI34" s="1">
        <f t="shared" si="44"/>
        <v>1</v>
      </c>
      <c r="AJ34" s="1">
        <f t="shared" si="44"/>
        <v>1</v>
      </c>
      <c r="AK34" s="1">
        <f t="shared" si="44"/>
        <v>0</v>
      </c>
      <c r="AL34" s="1">
        <f t="shared" si="44"/>
        <v>1</v>
      </c>
      <c r="AM34" s="1">
        <f t="shared" si="44"/>
        <v>1</v>
      </c>
      <c r="AN34" s="1">
        <f t="shared" si="44"/>
        <v>1</v>
      </c>
      <c r="AO34" s="1">
        <f t="shared" si="44"/>
        <v>1</v>
      </c>
      <c r="AP34" s="1">
        <f t="shared" si="44"/>
        <v>1</v>
      </c>
      <c r="AQ34" s="1">
        <f t="shared" si="44"/>
        <v>1</v>
      </c>
      <c r="AR34" s="1">
        <f t="shared" si="44"/>
        <v>1</v>
      </c>
      <c r="AS34" s="1">
        <f t="shared" si="44"/>
        <v>0</v>
      </c>
      <c r="AT34" s="1">
        <f t="shared" si="44"/>
        <v>1</v>
      </c>
      <c r="AU34" s="1">
        <f t="shared" si="44"/>
        <v>1</v>
      </c>
      <c r="AV34" s="1">
        <f t="shared" si="44"/>
        <v>1</v>
      </c>
      <c r="AW34" s="1">
        <f t="shared" si="44"/>
        <v>1</v>
      </c>
      <c r="AX34" s="1">
        <f t="shared" si="44"/>
        <v>1</v>
      </c>
      <c r="AY34" s="1">
        <f t="shared" si="44"/>
        <v>1</v>
      </c>
      <c r="AZ34" s="1">
        <f t="shared" si="44"/>
        <v>0</v>
      </c>
      <c r="BA34" s="1">
        <f t="shared" si="44"/>
        <v>1</v>
      </c>
      <c r="BB34" s="1">
        <f t="shared" si="44"/>
        <v>1</v>
      </c>
      <c r="BC34" s="1">
        <f t="shared" si="44"/>
        <v>1</v>
      </c>
      <c r="BD34" s="1">
        <f t="shared" si="44"/>
        <v>1</v>
      </c>
      <c r="BE34" s="1">
        <f t="shared" si="44"/>
        <v>1</v>
      </c>
      <c r="BF34" s="1">
        <f t="shared" si="44"/>
        <v>0</v>
      </c>
      <c r="BG34" s="1">
        <f t="shared" si="44"/>
        <v>1</v>
      </c>
      <c r="BH34" s="1">
        <f t="shared" si="44"/>
        <v>1</v>
      </c>
      <c r="BI34" s="1">
        <f t="shared" si="44"/>
        <v>1</v>
      </c>
      <c r="BJ34" s="1">
        <f t="shared" si="44"/>
        <v>0</v>
      </c>
      <c r="BK34" s="1">
        <f t="shared" si="44"/>
        <v>1</v>
      </c>
      <c r="BL34" s="1">
        <f t="shared" si="44"/>
        <v>1</v>
      </c>
      <c r="BM34" s="1">
        <f t="shared" si="44"/>
        <v>1</v>
      </c>
      <c r="BN34" s="1">
        <f t="shared" si="44"/>
        <v>0</v>
      </c>
      <c r="BO34" s="1">
        <f t="shared" si="44"/>
        <v>1</v>
      </c>
      <c r="BP34" s="1">
        <f t="shared" si="44"/>
        <v>1</v>
      </c>
      <c r="BQ34" s="1">
        <f t="shared" si="44"/>
        <v>0</v>
      </c>
      <c r="BR34" s="1">
        <f t="shared" si="44"/>
        <v>1</v>
      </c>
    </row>
    <row r="35" spans="1:70" x14ac:dyDescent="0.3">
      <c r="A35" s="1" t="s">
        <v>29</v>
      </c>
      <c r="B35" s="1">
        <f t="shared" si="41"/>
        <v>18.090000000000035</v>
      </c>
      <c r="C35" s="1">
        <f t="shared" si="42"/>
        <v>22.640000000000047</v>
      </c>
      <c r="D35" s="1">
        <f t="shared" si="42"/>
        <v>23.980000000000047</v>
      </c>
      <c r="E35" s="1">
        <f t="shared" si="42"/>
        <v>27.450000000000053</v>
      </c>
      <c r="F35" s="1">
        <f t="shared" si="42"/>
        <v>28.22</v>
      </c>
      <c r="G35" s="1">
        <f t="shared" si="42"/>
        <v>28.67</v>
      </c>
      <c r="H35" s="1">
        <f t="shared" si="42"/>
        <v>30.670000000000048</v>
      </c>
      <c r="I35" s="1">
        <f t="shared" si="42"/>
        <v>33.60000000000008</v>
      </c>
      <c r="J35" s="1">
        <f t="shared" si="42"/>
        <v>34.700000000000088</v>
      </c>
      <c r="K35" s="1">
        <f t="shared" si="42"/>
        <v>36.040000000000006</v>
      </c>
      <c r="L35" s="1">
        <f t="shared" si="42"/>
        <v>39.44000000000009</v>
      </c>
      <c r="M35" s="1">
        <f t="shared" si="42"/>
        <v>40.210000000000093</v>
      </c>
      <c r="N35" s="1">
        <f t="shared" si="42"/>
        <v>40.330000000000091</v>
      </c>
      <c r="O35" s="1">
        <f t="shared" si="42"/>
        <v>42.330000000000091</v>
      </c>
      <c r="P35" s="1">
        <f t="shared" si="43"/>
        <v>44.830000000000098</v>
      </c>
      <c r="R35" s="1"/>
      <c r="S35" s="6" t="s">
        <v>1</v>
      </c>
      <c r="T35" s="6" t="s">
        <v>2</v>
      </c>
      <c r="U35" s="6" t="s">
        <v>4</v>
      </c>
      <c r="V35" s="6" t="s">
        <v>6</v>
      </c>
      <c r="W35" s="6" t="s">
        <v>8</v>
      </c>
      <c r="X35" s="6" t="s">
        <v>9</v>
      </c>
      <c r="Y35" s="6" t="s">
        <v>11</v>
      </c>
      <c r="Z35" s="6" t="s">
        <v>13</v>
      </c>
      <c r="AA35" s="6" t="s">
        <v>15</v>
      </c>
      <c r="AC35" s="42" t="s">
        <v>51</v>
      </c>
      <c r="AD35" s="1">
        <f>SUM(AD4,AD7)</f>
        <v>1</v>
      </c>
      <c r="AE35" s="1">
        <f t="shared" ref="AE35:BR35" si="45">SUM(AE4,AE7)</f>
        <v>1</v>
      </c>
      <c r="AF35" s="1">
        <f t="shared" si="45"/>
        <v>1</v>
      </c>
      <c r="AG35" s="1">
        <f t="shared" si="45"/>
        <v>1</v>
      </c>
      <c r="AH35" s="1">
        <f t="shared" si="45"/>
        <v>1</v>
      </c>
      <c r="AI35" s="1">
        <f t="shared" si="45"/>
        <v>1</v>
      </c>
      <c r="AJ35" s="1">
        <f t="shared" si="45"/>
        <v>1</v>
      </c>
      <c r="AK35" s="1">
        <f t="shared" si="45"/>
        <v>0</v>
      </c>
      <c r="AL35" s="1">
        <f t="shared" si="45"/>
        <v>1</v>
      </c>
      <c r="AM35" s="1">
        <f t="shared" si="45"/>
        <v>1</v>
      </c>
      <c r="AN35" s="1">
        <f t="shared" si="45"/>
        <v>1</v>
      </c>
      <c r="AO35" s="1">
        <f t="shared" si="45"/>
        <v>1</v>
      </c>
      <c r="AP35" s="1">
        <f t="shared" si="45"/>
        <v>1</v>
      </c>
      <c r="AQ35" s="1">
        <f t="shared" si="45"/>
        <v>1</v>
      </c>
      <c r="AR35" s="1">
        <f t="shared" si="45"/>
        <v>1</v>
      </c>
      <c r="AS35" s="1">
        <f t="shared" si="45"/>
        <v>0</v>
      </c>
      <c r="AT35" s="1">
        <f t="shared" si="45"/>
        <v>1</v>
      </c>
      <c r="AU35" s="1">
        <f t="shared" si="45"/>
        <v>1</v>
      </c>
      <c r="AV35" s="1">
        <f t="shared" si="45"/>
        <v>1</v>
      </c>
      <c r="AW35" s="1">
        <f t="shared" si="45"/>
        <v>1</v>
      </c>
      <c r="AX35" s="1">
        <f t="shared" si="45"/>
        <v>1</v>
      </c>
      <c r="AY35" s="1">
        <f t="shared" si="45"/>
        <v>1</v>
      </c>
      <c r="AZ35" s="1">
        <f t="shared" si="45"/>
        <v>0</v>
      </c>
      <c r="BA35" s="1">
        <f t="shared" si="45"/>
        <v>1</v>
      </c>
      <c r="BB35" s="1">
        <f t="shared" si="45"/>
        <v>1</v>
      </c>
      <c r="BC35" s="1">
        <f t="shared" si="45"/>
        <v>1</v>
      </c>
      <c r="BD35" s="1">
        <f t="shared" si="45"/>
        <v>1</v>
      </c>
      <c r="BE35" s="1">
        <f t="shared" si="45"/>
        <v>1</v>
      </c>
      <c r="BF35" s="1">
        <f t="shared" si="45"/>
        <v>0</v>
      </c>
      <c r="BG35" s="1">
        <f t="shared" si="45"/>
        <v>1</v>
      </c>
      <c r="BH35" s="1">
        <f t="shared" si="45"/>
        <v>1</v>
      </c>
      <c r="BI35" s="1">
        <f t="shared" si="45"/>
        <v>1</v>
      </c>
      <c r="BJ35" s="1">
        <f t="shared" si="45"/>
        <v>0</v>
      </c>
      <c r="BK35" s="1">
        <f t="shared" si="45"/>
        <v>1</v>
      </c>
      <c r="BL35" s="1">
        <f t="shared" si="45"/>
        <v>1</v>
      </c>
      <c r="BM35" s="1">
        <f t="shared" si="45"/>
        <v>1</v>
      </c>
      <c r="BN35" s="1">
        <f t="shared" si="45"/>
        <v>0</v>
      </c>
      <c r="BO35" s="1">
        <f t="shared" si="45"/>
        <v>1</v>
      </c>
      <c r="BP35" s="1">
        <f t="shared" si="45"/>
        <v>1</v>
      </c>
      <c r="BQ35" s="1">
        <f t="shared" si="45"/>
        <v>0</v>
      </c>
      <c r="BR35" s="1">
        <f t="shared" si="45"/>
        <v>1</v>
      </c>
    </row>
    <row r="36" spans="1:70" x14ac:dyDescent="0.3">
      <c r="R36" s="6" t="s">
        <v>1</v>
      </c>
      <c r="S36" s="1"/>
      <c r="T36" s="1"/>
      <c r="U36" s="1">
        <f>$R$18-T2-$AA$17*(1-AD4)</f>
        <v>-58.590000000000018</v>
      </c>
      <c r="V36" s="1">
        <f t="shared" ref="V36:Z36" si="46">$R$18-U2-$AA$17*(1-AE4)</f>
        <v>-59.600000000000009</v>
      </c>
      <c r="W36" s="1">
        <f t="shared" si="46"/>
        <v>-0.12000000000000544</v>
      </c>
      <c r="X36" s="1">
        <f t="shared" si="46"/>
        <v>-2.8200000000000056</v>
      </c>
      <c r="Y36" s="1">
        <f t="shared" si="46"/>
        <v>-5.590000000000023</v>
      </c>
      <c r="Z36" s="1">
        <f t="shared" si="46"/>
        <v>-8.0300000000000349</v>
      </c>
      <c r="AA36" s="1">
        <f>$R$18-Z2-$AA$17*(1-AJ4)</f>
        <v>-16.180000000000053</v>
      </c>
      <c r="AC36" t="s">
        <v>58</v>
      </c>
      <c r="AD36" s="1">
        <f>SUM(AD9,AD12)</f>
        <v>1</v>
      </c>
      <c r="AE36" s="1">
        <f t="shared" ref="AE36:BR36" si="47">SUM(AE9,AE12)</f>
        <v>1</v>
      </c>
      <c r="AF36" s="1">
        <f t="shared" si="47"/>
        <v>1</v>
      </c>
      <c r="AG36" s="1">
        <f t="shared" si="47"/>
        <v>1</v>
      </c>
      <c r="AH36" s="1">
        <f t="shared" si="47"/>
        <v>1</v>
      </c>
      <c r="AI36" s="1">
        <f t="shared" si="47"/>
        <v>1</v>
      </c>
      <c r="AJ36" s="1">
        <f t="shared" si="47"/>
        <v>1</v>
      </c>
      <c r="AK36" s="1">
        <f t="shared" si="47"/>
        <v>0</v>
      </c>
      <c r="AL36" s="1">
        <f t="shared" si="47"/>
        <v>1</v>
      </c>
      <c r="AM36" s="1">
        <f t="shared" si="47"/>
        <v>1</v>
      </c>
      <c r="AN36" s="1">
        <f t="shared" si="47"/>
        <v>1</v>
      </c>
      <c r="AO36" s="1">
        <f t="shared" si="47"/>
        <v>1</v>
      </c>
      <c r="AP36" s="1">
        <f t="shared" si="47"/>
        <v>1</v>
      </c>
      <c r="AQ36" s="1">
        <f t="shared" si="47"/>
        <v>1</v>
      </c>
      <c r="AR36" s="1">
        <f t="shared" si="47"/>
        <v>1</v>
      </c>
      <c r="AS36" s="1">
        <f t="shared" si="47"/>
        <v>0</v>
      </c>
      <c r="AT36" s="1">
        <f t="shared" si="47"/>
        <v>1</v>
      </c>
      <c r="AU36" s="1">
        <f t="shared" si="47"/>
        <v>1</v>
      </c>
      <c r="AV36" s="1">
        <f t="shared" si="47"/>
        <v>1</v>
      </c>
      <c r="AW36" s="1">
        <f t="shared" si="47"/>
        <v>1</v>
      </c>
      <c r="AX36" s="1">
        <f t="shared" si="47"/>
        <v>1</v>
      </c>
      <c r="AY36" s="1">
        <f t="shared" si="47"/>
        <v>1</v>
      </c>
      <c r="AZ36" s="1">
        <f t="shared" si="47"/>
        <v>0</v>
      </c>
      <c r="BA36" s="1">
        <f t="shared" si="47"/>
        <v>1</v>
      </c>
      <c r="BB36" s="1">
        <f t="shared" si="47"/>
        <v>1</v>
      </c>
      <c r="BC36" s="1">
        <f t="shared" si="47"/>
        <v>1</v>
      </c>
      <c r="BD36" s="1">
        <f t="shared" si="47"/>
        <v>1</v>
      </c>
      <c r="BE36" s="1">
        <f t="shared" si="47"/>
        <v>1</v>
      </c>
      <c r="BF36" s="1">
        <f t="shared" si="47"/>
        <v>0</v>
      </c>
      <c r="BG36" s="1">
        <f t="shared" si="47"/>
        <v>1</v>
      </c>
      <c r="BH36" s="1">
        <f t="shared" si="47"/>
        <v>1</v>
      </c>
      <c r="BI36" s="1">
        <f t="shared" si="47"/>
        <v>1</v>
      </c>
      <c r="BJ36" s="1">
        <f t="shared" si="47"/>
        <v>0</v>
      </c>
      <c r="BK36" s="1">
        <f t="shared" si="47"/>
        <v>1</v>
      </c>
      <c r="BL36" s="1">
        <f t="shared" si="47"/>
        <v>1</v>
      </c>
      <c r="BM36" s="1">
        <f t="shared" si="47"/>
        <v>1</v>
      </c>
      <c r="BN36" s="1">
        <f t="shared" si="47"/>
        <v>0</v>
      </c>
      <c r="BO36" s="1">
        <f t="shared" si="47"/>
        <v>1</v>
      </c>
      <c r="BP36" s="1">
        <f t="shared" si="47"/>
        <v>1</v>
      </c>
      <c r="BQ36" s="1">
        <f t="shared" si="47"/>
        <v>0</v>
      </c>
      <c r="BR36" s="1">
        <f t="shared" si="47"/>
        <v>1</v>
      </c>
    </row>
    <row r="37" spans="1:70" x14ac:dyDescent="0.3">
      <c r="R37" s="6" t="s">
        <v>2</v>
      </c>
      <c r="S37" s="1"/>
      <c r="T37" s="1"/>
      <c r="U37" s="1">
        <f>$S$18-T2-$AA$17*(1-AL4)</f>
        <v>-57.230000000000018</v>
      </c>
      <c r="V37" s="1">
        <f t="shared" ref="V37:AA37" si="48">$S$18-U2-$AA$17*(1-AM4)</f>
        <v>-58.240000000000009</v>
      </c>
      <c r="W37" s="1">
        <f>$S$18-V2-$AA$17*(1-AN4)</f>
        <v>-60.360000000000014</v>
      </c>
      <c r="X37" s="1">
        <f>$S$18-W2-$AA$17*(1-AO4)</f>
        <v>-1.4600000000000026</v>
      </c>
      <c r="Y37" s="1">
        <f t="shared" si="48"/>
        <v>-4.23000000000002</v>
      </c>
      <c r="Z37" s="1">
        <f t="shared" si="48"/>
        <v>-6.6700000000000319</v>
      </c>
      <c r="AA37" s="1">
        <f t="shared" si="48"/>
        <v>-14.82000000000005</v>
      </c>
      <c r="AC37" t="s">
        <v>70</v>
      </c>
      <c r="AD37" s="1">
        <f>SUM(AD19,AD15)</f>
        <v>1</v>
      </c>
      <c r="AE37" s="1">
        <f t="shared" ref="AE37:BR37" si="49">SUM(AE19,AE15)</f>
        <v>1</v>
      </c>
      <c r="AF37" s="1">
        <f t="shared" si="49"/>
        <v>1</v>
      </c>
      <c r="AG37" s="1">
        <f t="shared" si="49"/>
        <v>1</v>
      </c>
      <c r="AH37" s="1">
        <f t="shared" si="49"/>
        <v>1</v>
      </c>
      <c r="AI37" s="1">
        <f t="shared" si="49"/>
        <v>1</v>
      </c>
      <c r="AJ37" s="1">
        <f t="shared" si="49"/>
        <v>1</v>
      </c>
      <c r="AK37" s="1">
        <f t="shared" si="49"/>
        <v>0</v>
      </c>
      <c r="AL37" s="1">
        <f t="shared" si="49"/>
        <v>1</v>
      </c>
      <c r="AM37" s="1">
        <f t="shared" si="49"/>
        <v>1</v>
      </c>
      <c r="AN37" s="1">
        <f t="shared" si="49"/>
        <v>1</v>
      </c>
      <c r="AO37" s="1">
        <f t="shared" si="49"/>
        <v>1</v>
      </c>
      <c r="AP37" s="1">
        <f t="shared" si="49"/>
        <v>1</v>
      </c>
      <c r="AQ37" s="1">
        <f t="shared" si="49"/>
        <v>1</v>
      </c>
      <c r="AR37" s="1">
        <f t="shared" si="49"/>
        <v>1</v>
      </c>
      <c r="AS37" s="1">
        <f t="shared" si="49"/>
        <v>0</v>
      </c>
      <c r="AT37" s="1">
        <f t="shared" si="49"/>
        <v>1</v>
      </c>
      <c r="AU37" s="1">
        <f t="shared" si="49"/>
        <v>1</v>
      </c>
      <c r="AV37" s="1">
        <f t="shared" si="49"/>
        <v>1</v>
      </c>
      <c r="AW37" s="1">
        <f t="shared" si="49"/>
        <v>1</v>
      </c>
      <c r="AX37" s="1">
        <f t="shared" si="49"/>
        <v>1</v>
      </c>
      <c r="AY37" s="1">
        <f t="shared" si="49"/>
        <v>1</v>
      </c>
      <c r="AZ37" s="1">
        <f t="shared" si="49"/>
        <v>0</v>
      </c>
      <c r="BA37" s="1">
        <f t="shared" si="49"/>
        <v>1</v>
      </c>
      <c r="BB37" s="1">
        <f t="shared" si="49"/>
        <v>1</v>
      </c>
      <c r="BC37" s="1">
        <f t="shared" si="49"/>
        <v>1</v>
      </c>
      <c r="BD37" s="1">
        <f t="shared" si="49"/>
        <v>1</v>
      </c>
      <c r="BE37" s="1">
        <f t="shared" si="49"/>
        <v>1</v>
      </c>
      <c r="BF37" s="1">
        <f t="shared" si="49"/>
        <v>0</v>
      </c>
      <c r="BG37" s="1">
        <f t="shared" si="49"/>
        <v>1</v>
      </c>
      <c r="BH37" s="1">
        <f t="shared" si="49"/>
        <v>1</v>
      </c>
      <c r="BI37" s="1">
        <f t="shared" si="49"/>
        <v>1</v>
      </c>
      <c r="BJ37" s="1">
        <f t="shared" si="49"/>
        <v>0</v>
      </c>
      <c r="BK37" s="1">
        <f t="shared" si="49"/>
        <v>1</v>
      </c>
      <c r="BL37" s="1">
        <f t="shared" si="49"/>
        <v>1</v>
      </c>
      <c r="BM37" s="1">
        <f t="shared" si="49"/>
        <v>1</v>
      </c>
      <c r="BN37" s="1">
        <f t="shared" si="49"/>
        <v>0</v>
      </c>
      <c r="BO37" s="1">
        <f t="shared" si="49"/>
        <v>1</v>
      </c>
      <c r="BP37" s="1">
        <f t="shared" si="49"/>
        <v>1</v>
      </c>
      <c r="BQ37" s="1">
        <f t="shared" si="49"/>
        <v>0</v>
      </c>
      <c r="BR37" s="1">
        <f t="shared" si="49"/>
        <v>1</v>
      </c>
    </row>
    <row r="38" spans="1:70" x14ac:dyDescent="0.3">
      <c r="A38">
        <f>P35</f>
        <v>44.830000000000098</v>
      </c>
      <c r="R38" s="6" t="s">
        <v>4</v>
      </c>
      <c r="S38" s="1"/>
      <c r="T38" s="1"/>
      <c r="U38" s="1"/>
      <c r="V38" s="1">
        <f>$T$18-U2-$AA$17*(1-AT4)</f>
        <v>-56.78</v>
      </c>
      <c r="W38" s="1">
        <f t="shared" ref="W38:AA38" si="50">$T$18-V2-$AA$17*(1-AU4)</f>
        <v>-58.900000000000006</v>
      </c>
      <c r="X38" s="1">
        <f t="shared" si="50"/>
        <v>3.5527136788005009E-15</v>
      </c>
      <c r="Y38" s="1">
        <f t="shared" si="50"/>
        <v>-2.7700000000000138</v>
      </c>
      <c r="Z38" s="1">
        <f t="shared" si="50"/>
        <v>-5.2100000000000257</v>
      </c>
      <c r="AA38" s="1">
        <f t="shared" si="50"/>
        <v>-13.360000000000044</v>
      </c>
      <c r="AC38" t="s">
        <v>89</v>
      </c>
      <c r="AD38" s="1">
        <f>SUM(AD23,AD28)</f>
        <v>1</v>
      </c>
      <c r="AE38" s="1">
        <f t="shared" ref="AE38:BR38" si="51">SUM(AE23,AE28)</f>
        <v>1</v>
      </c>
      <c r="AF38" s="1">
        <f t="shared" si="51"/>
        <v>1</v>
      </c>
      <c r="AG38" s="1">
        <f t="shared" si="51"/>
        <v>1</v>
      </c>
      <c r="AH38" s="1">
        <f t="shared" si="51"/>
        <v>1</v>
      </c>
      <c r="AI38" s="1">
        <f t="shared" si="51"/>
        <v>1</v>
      </c>
      <c r="AJ38" s="1">
        <f t="shared" si="51"/>
        <v>1</v>
      </c>
      <c r="AK38" s="1">
        <f t="shared" si="51"/>
        <v>0</v>
      </c>
      <c r="AL38" s="1">
        <f t="shared" si="51"/>
        <v>1</v>
      </c>
      <c r="AM38" s="1">
        <f t="shared" si="51"/>
        <v>1</v>
      </c>
      <c r="AN38" s="1">
        <f t="shared" si="51"/>
        <v>1</v>
      </c>
      <c r="AO38" s="1">
        <f t="shared" si="51"/>
        <v>1</v>
      </c>
      <c r="AP38" s="1">
        <f t="shared" si="51"/>
        <v>1</v>
      </c>
      <c r="AQ38" s="1">
        <f t="shared" si="51"/>
        <v>1</v>
      </c>
      <c r="AR38" s="1">
        <f t="shared" si="51"/>
        <v>1</v>
      </c>
      <c r="AS38" s="1">
        <f t="shared" si="51"/>
        <v>0</v>
      </c>
      <c r="AT38" s="1">
        <f t="shared" si="51"/>
        <v>1</v>
      </c>
      <c r="AU38" s="1">
        <f t="shared" si="51"/>
        <v>1</v>
      </c>
      <c r="AV38" s="1">
        <f t="shared" si="51"/>
        <v>1</v>
      </c>
      <c r="AW38" s="1">
        <f t="shared" si="51"/>
        <v>1</v>
      </c>
      <c r="AX38" s="1">
        <f t="shared" si="51"/>
        <v>1</v>
      </c>
      <c r="AY38" s="1">
        <f t="shared" si="51"/>
        <v>1</v>
      </c>
      <c r="AZ38" s="1">
        <f t="shared" si="51"/>
        <v>0</v>
      </c>
      <c r="BA38" s="1">
        <f t="shared" si="51"/>
        <v>1</v>
      </c>
      <c r="BB38" s="1">
        <f t="shared" si="51"/>
        <v>1</v>
      </c>
      <c r="BC38" s="1">
        <f t="shared" si="51"/>
        <v>1</v>
      </c>
      <c r="BD38" s="1">
        <f t="shared" si="51"/>
        <v>1</v>
      </c>
      <c r="BE38" s="1">
        <f t="shared" si="51"/>
        <v>1</v>
      </c>
      <c r="BF38" s="1">
        <f t="shared" si="51"/>
        <v>0</v>
      </c>
      <c r="BG38" s="1">
        <f t="shared" si="51"/>
        <v>1</v>
      </c>
      <c r="BH38" s="1">
        <f t="shared" si="51"/>
        <v>1</v>
      </c>
      <c r="BI38" s="1">
        <f t="shared" si="51"/>
        <v>1</v>
      </c>
      <c r="BJ38" s="1">
        <f t="shared" si="51"/>
        <v>0</v>
      </c>
      <c r="BK38" s="1">
        <f t="shared" si="51"/>
        <v>1</v>
      </c>
      <c r="BL38" s="1">
        <f t="shared" si="51"/>
        <v>1</v>
      </c>
      <c r="BM38" s="1">
        <f t="shared" si="51"/>
        <v>1</v>
      </c>
      <c r="BN38" s="1">
        <f t="shared" si="51"/>
        <v>0</v>
      </c>
      <c r="BO38" s="1">
        <f t="shared" si="51"/>
        <v>1</v>
      </c>
      <c r="BP38" s="1">
        <f t="shared" si="51"/>
        <v>1</v>
      </c>
      <c r="BQ38" s="1">
        <f t="shared" si="51"/>
        <v>0</v>
      </c>
      <c r="BR38" s="1">
        <f t="shared" si="51"/>
        <v>1</v>
      </c>
    </row>
    <row r="39" spans="1:70" x14ac:dyDescent="0.3">
      <c r="R39" s="6" t="s">
        <v>6</v>
      </c>
      <c r="S39" s="1"/>
      <c r="T39" s="1"/>
      <c r="U39" s="1"/>
      <c r="V39" s="1"/>
      <c r="W39" s="1">
        <f>$U$18-V2-$AA$17*(1-BA4)</f>
        <v>-56.459999999999994</v>
      </c>
      <c r="X39" s="1">
        <f t="shared" ref="X39:AA39" si="52">$U$18-W2-$AA$17*(1-BB4)</f>
        <v>-59.16</v>
      </c>
      <c r="Y39" s="1">
        <f t="shared" si="52"/>
        <v>-0.3300000000000054</v>
      </c>
      <c r="Z39" s="1">
        <f t="shared" si="52"/>
        <v>-2.7700000000000173</v>
      </c>
      <c r="AA39" s="1">
        <f t="shared" si="52"/>
        <v>-10.920000000000035</v>
      </c>
      <c r="AC39" t="s">
        <v>52</v>
      </c>
      <c r="AD39" s="1">
        <f>SUM(AD8,AD5)</f>
        <v>1</v>
      </c>
      <c r="AE39" s="1">
        <f t="shared" ref="AE39:BR39" si="53">SUM(AE8,AE5)</f>
        <v>1</v>
      </c>
      <c r="AF39" s="1">
        <f t="shared" si="53"/>
        <v>1</v>
      </c>
      <c r="AG39" s="1">
        <f t="shared" si="53"/>
        <v>1</v>
      </c>
      <c r="AH39" s="1">
        <f t="shared" si="53"/>
        <v>1</v>
      </c>
      <c r="AI39" s="1">
        <f t="shared" si="53"/>
        <v>1</v>
      </c>
      <c r="AJ39" s="1">
        <f t="shared" si="53"/>
        <v>1</v>
      </c>
      <c r="AK39" s="1">
        <f t="shared" si="53"/>
        <v>0</v>
      </c>
      <c r="AL39" s="1">
        <f t="shared" si="53"/>
        <v>1</v>
      </c>
      <c r="AM39" s="1">
        <f t="shared" si="53"/>
        <v>1</v>
      </c>
      <c r="AN39" s="1">
        <f t="shared" si="53"/>
        <v>1</v>
      </c>
      <c r="AO39" s="1">
        <f t="shared" si="53"/>
        <v>1</v>
      </c>
      <c r="AP39" s="1">
        <f t="shared" si="53"/>
        <v>1</v>
      </c>
      <c r="AQ39" s="1">
        <f t="shared" si="53"/>
        <v>1</v>
      </c>
      <c r="AR39" s="1">
        <f t="shared" si="53"/>
        <v>1</v>
      </c>
      <c r="AS39" s="1">
        <f t="shared" si="53"/>
        <v>0</v>
      </c>
      <c r="AT39" s="1">
        <f t="shared" si="53"/>
        <v>1</v>
      </c>
      <c r="AU39" s="1">
        <f t="shared" si="53"/>
        <v>1</v>
      </c>
      <c r="AV39" s="1">
        <f t="shared" si="53"/>
        <v>1</v>
      </c>
      <c r="AW39" s="1">
        <f t="shared" si="53"/>
        <v>1</v>
      </c>
      <c r="AX39" s="1">
        <f t="shared" si="53"/>
        <v>1</v>
      </c>
      <c r="AY39" s="1">
        <f t="shared" si="53"/>
        <v>1</v>
      </c>
      <c r="AZ39" s="1">
        <f t="shared" si="53"/>
        <v>0</v>
      </c>
      <c r="BA39" s="1">
        <f t="shared" si="53"/>
        <v>1</v>
      </c>
      <c r="BB39" s="1">
        <f t="shared" si="53"/>
        <v>1</v>
      </c>
      <c r="BC39" s="1">
        <f t="shared" si="53"/>
        <v>1</v>
      </c>
      <c r="BD39" s="1">
        <f t="shared" si="53"/>
        <v>1</v>
      </c>
      <c r="BE39" s="1">
        <f t="shared" si="53"/>
        <v>1</v>
      </c>
      <c r="BF39" s="1">
        <f t="shared" si="53"/>
        <v>0</v>
      </c>
      <c r="BG39" s="1">
        <f t="shared" si="53"/>
        <v>1</v>
      </c>
      <c r="BH39" s="1">
        <f t="shared" si="53"/>
        <v>1</v>
      </c>
      <c r="BI39" s="1">
        <f t="shared" si="53"/>
        <v>1</v>
      </c>
      <c r="BJ39" s="1">
        <f t="shared" si="53"/>
        <v>0</v>
      </c>
      <c r="BK39" s="1">
        <f t="shared" si="53"/>
        <v>1</v>
      </c>
      <c r="BL39" s="1">
        <f t="shared" si="53"/>
        <v>1</v>
      </c>
      <c r="BM39" s="1">
        <f t="shared" si="53"/>
        <v>1</v>
      </c>
      <c r="BN39" s="1">
        <f t="shared" si="53"/>
        <v>0</v>
      </c>
      <c r="BO39" s="1">
        <f t="shared" si="53"/>
        <v>1</v>
      </c>
      <c r="BP39" s="1">
        <f t="shared" si="53"/>
        <v>1</v>
      </c>
      <c r="BQ39" s="1">
        <f t="shared" si="53"/>
        <v>0</v>
      </c>
      <c r="BR39" s="1">
        <f t="shared" si="53"/>
        <v>1</v>
      </c>
    </row>
    <row r="40" spans="1:70" x14ac:dyDescent="0.3">
      <c r="R40" s="6" t="s">
        <v>8</v>
      </c>
      <c r="S40" s="1"/>
      <c r="T40" s="1"/>
      <c r="U40" s="1"/>
      <c r="V40" s="1"/>
      <c r="W40" s="1"/>
      <c r="X40" s="1"/>
      <c r="Y40" s="1">
        <f>$V$18-X2-$AA$17*(1-BG4)</f>
        <v>-59.039999999999992</v>
      </c>
      <c r="Z40" s="1">
        <f t="shared" ref="Z40:AA40" si="54">$V$18-Y2-$AA$17*(1-BH4)</f>
        <v>-61.480000000000004</v>
      </c>
      <c r="AA40" s="1">
        <f t="shared" si="54"/>
        <v>-8.0300000000000136</v>
      </c>
      <c r="AC40" t="s">
        <v>59</v>
      </c>
      <c r="AD40" s="1">
        <f>SUM(AD13,AD10)</f>
        <v>1</v>
      </c>
      <c r="AE40" s="1">
        <f t="shared" ref="AE40:BR40" si="55">SUM(AE13,AE10)</f>
        <v>1</v>
      </c>
      <c r="AF40" s="1">
        <f t="shared" si="55"/>
        <v>1</v>
      </c>
      <c r="AG40" s="1">
        <f t="shared" si="55"/>
        <v>1</v>
      </c>
      <c r="AH40" s="1">
        <f t="shared" si="55"/>
        <v>1</v>
      </c>
      <c r="AI40" s="1">
        <f t="shared" si="55"/>
        <v>1</v>
      </c>
      <c r="AJ40" s="1">
        <f t="shared" si="55"/>
        <v>1</v>
      </c>
      <c r="AK40" s="1">
        <f t="shared" si="55"/>
        <v>0</v>
      </c>
      <c r="AL40" s="1">
        <f t="shared" si="55"/>
        <v>1</v>
      </c>
      <c r="AM40" s="1">
        <f t="shared" si="55"/>
        <v>1</v>
      </c>
      <c r="AN40" s="1">
        <f t="shared" si="55"/>
        <v>1</v>
      </c>
      <c r="AO40" s="1">
        <f t="shared" si="55"/>
        <v>1</v>
      </c>
      <c r="AP40" s="1">
        <f t="shared" si="55"/>
        <v>1</v>
      </c>
      <c r="AQ40" s="1">
        <f t="shared" si="55"/>
        <v>1</v>
      </c>
      <c r="AR40" s="1">
        <f t="shared" si="55"/>
        <v>1</v>
      </c>
      <c r="AS40" s="1">
        <f t="shared" si="55"/>
        <v>0</v>
      </c>
      <c r="AT40" s="1">
        <f t="shared" si="55"/>
        <v>1</v>
      </c>
      <c r="AU40" s="1">
        <f t="shared" si="55"/>
        <v>1</v>
      </c>
      <c r="AV40" s="1">
        <f t="shared" si="55"/>
        <v>1</v>
      </c>
      <c r="AW40" s="1">
        <f t="shared" si="55"/>
        <v>1</v>
      </c>
      <c r="AX40" s="1">
        <f t="shared" si="55"/>
        <v>1</v>
      </c>
      <c r="AY40" s="1">
        <f t="shared" si="55"/>
        <v>1</v>
      </c>
      <c r="AZ40" s="1">
        <f t="shared" si="55"/>
        <v>0</v>
      </c>
      <c r="BA40" s="1">
        <f t="shared" si="55"/>
        <v>1</v>
      </c>
      <c r="BB40" s="1">
        <f t="shared" si="55"/>
        <v>1</v>
      </c>
      <c r="BC40" s="1">
        <f t="shared" si="55"/>
        <v>1</v>
      </c>
      <c r="BD40" s="1">
        <f t="shared" si="55"/>
        <v>1</v>
      </c>
      <c r="BE40" s="1">
        <f t="shared" si="55"/>
        <v>1</v>
      </c>
      <c r="BF40" s="1">
        <f t="shared" si="55"/>
        <v>0</v>
      </c>
      <c r="BG40" s="1">
        <f t="shared" si="55"/>
        <v>1</v>
      </c>
      <c r="BH40" s="1">
        <f t="shared" si="55"/>
        <v>1</v>
      </c>
      <c r="BI40" s="1">
        <f t="shared" si="55"/>
        <v>1</v>
      </c>
      <c r="BJ40" s="1">
        <f t="shared" si="55"/>
        <v>0</v>
      </c>
      <c r="BK40" s="1">
        <f t="shared" si="55"/>
        <v>1</v>
      </c>
      <c r="BL40" s="1">
        <f t="shared" si="55"/>
        <v>1</v>
      </c>
      <c r="BM40" s="1">
        <f t="shared" si="55"/>
        <v>1</v>
      </c>
      <c r="BN40" s="1">
        <f t="shared" si="55"/>
        <v>0</v>
      </c>
      <c r="BO40" s="1">
        <f t="shared" si="55"/>
        <v>1</v>
      </c>
      <c r="BP40" s="1">
        <f t="shared" si="55"/>
        <v>1</v>
      </c>
      <c r="BQ40" s="1">
        <f t="shared" si="55"/>
        <v>0</v>
      </c>
      <c r="BR40" s="1">
        <f t="shared" si="55"/>
        <v>1</v>
      </c>
    </row>
    <row r="41" spans="1:70" x14ac:dyDescent="0.3">
      <c r="R41" s="6" t="s">
        <v>9</v>
      </c>
      <c r="S41" s="1"/>
      <c r="T41" s="1"/>
      <c r="U41" s="1"/>
      <c r="V41" s="1"/>
      <c r="W41" s="1"/>
      <c r="X41" s="1"/>
      <c r="Y41" s="1">
        <f>$W$18-X2-$AA$17*(1-BK4)</f>
        <v>-53.47999999999999</v>
      </c>
      <c r="Z41" s="1">
        <f>$W$18-Y2-$AA$17*(1-BL4)</f>
        <v>-55.92</v>
      </c>
      <c r="AA41" s="1">
        <f t="shared" ref="AA41" si="56">$W$18-Z2-$AA$17*(1-BM4)</f>
        <v>-2.4700000000000131</v>
      </c>
      <c r="AC41" t="s">
        <v>69</v>
      </c>
      <c r="AD41" s="1">
        <f>SUM(AD20,AD16)</f>
        <v>1</v>
      </c>
      <c r="AE41" s="1">
        <f t="shared" ref="AE41:BR41" si="57">SUM(AE20,AE16)</f>
        <v>1</v>
      </c>
      <c r="AF41" s="1">
        <f t="shared" si="57"/>
        <v>1</v>
      </c>
      <c r="AG41" s="1">
        <f t="shared" si="57"/>
        <v>1</v>
      </c>
      <c r="AH41" s="1">
        <f t="shared" si="57"/>
        <v>1</v>
      </c>
      <c r="AI41" s="1">
        <f t="shared" si="57"/>
        <v>1</v>
      </c>
      <c r="AJ41" s="1">
        <f t="shared" si="57"/>
        <v>1</v>
      </c>
      <c r="AK41" s="1">
        <f t="shared" si="57"/>
        <v>0</v>
      </c>
      <c r="AL41" s="1">
        <f t="shared" si="57"/>
        <v>1</v>
      </c>
      <c r="AM41" s="1">
        <f t="shared" si="57"/>
        <v>1</v>
      </c>
      <c r="AN41" s="1">
        <f t="shared" si="57"/>
        <v>1</v>
      </c>
      <c r="AO41" s="1">
        <f t="shared" si="57"/>
        <v>1</v>
      </c>
      <c r="AP41" s="1">
        <f t="shared" si="57"/>
        <v>1</v>
      </c>
      <c r="AQ41" s="1">
        <f t="shared" si="57"/>
        <v>1</v>
      </c>
      <c r="AR41" s="1">
        <f t="shared" si="57"/>
        <v>1</v>
      </c>
      <c r="AS41" s="1">
        <f t="shared" si="57"/>
        <v>0</v>
      </c>
      <c r="AT41" s="1">
        <f t="shared" si="57"/>
        <v>1</v>
      </c>
      <c r="AU41" s="1">
        <f t="shared" si="57"/>
        <v>1</v>
      </c>
      <c r="AV41" s="1">
        <f t="shared" si="57"/>
        <v>1</v>
      </c>
      <c r="AW41" s="1">
        <f t="shared" si="57"/>
        <v>1</v>
      </c>
      <c r="AX41" s="1">
        <f t="shared" si="57"/>
        <v>1</v>
      </c>
      <c r="AY41" s="1">
        <f t="shared" si="57"/>
        <v>1</v>
      </c>
      <c r="AZ41" s="1">
        <f t="shared" si="57"/>
        <v>0</v>
      </c>
      <c r="BA41" s="1">
        <f t="shared" si="57"/>
        <v>1</v>
      </c>
      <c r="BB41" s="1">
        <f t="shared" si="57"/>
        <v>1</v>
      </c>
      <c r="BC41" s="1">
        <f t="shared" si="57"/>
        <v>1</v>
      </c>
      <c r="BD41" s="1">
        <f t="shared" si="57"/>
        <v>1</v>
      </c>
      <c r="BE41" s="1">
        <f t="shared" si="57"/>
        <v>1</v>
      </c>
      <c r="BF41" s="1">
        <f t="shared" si="57"/>
        <v>0</v>
      </c>
      <c r="BG41" s="1">
        <f t="shared" si="57"/>
        <v>1</v>
      </c>
      <c r="BH41" s="1">
        <f t="shared" si="57"/>
        <v>1</v>
      </c>
      <c r="BI41" s="1">
        <f t="shared" si="57"/>
        <v>1</v>
      </c>
      <c r="BJ41" s="1">
        <f t="shared" si="57"/>
        <v>0</v>
      </c>
      <c r="BK41" s="1">
        <f t="shared" si="57"/>
        <v>1</v>
      </c>
      <c r="BL41" s="1">
        <f t="shared" si="57"/>
        <v>1</v>
      </c>
      <c r="BM41" s="1">
        <f t="shared" si="57"/>
        <v>1</v>
      </c>
      <c r="BN41" s="1">
        <f t="shared" si="57"/>
        <v>0</v>
      </c>
      <c r="BO41" s="1">
        <f t="shared" si="57"/>
        <v>1</v>
      </c>
      <c r="BP41" s="1">
        <f t="shared" si="57"/>
        <v>1</v>
      </c>
      <c r="BQ41" s="1">
        <f t="shared" si="57"/>
        <v>0</v>
      </c>
      <c r="BR41" s="1">
        <f t="shared" si="57"/>
        <v>1</v>
      </c>
    </row>
    <row r="42" spans="1:70" x14ac:dyDescent="0.3">
      <c r="A42" t="s">
        <v>25</v>
      </c>
      <c r="R42" s="6" t="s">
        <v>11</v>
      </c>
      <c r="S42" s="1"/>
      <c r="T42" s="1"/>
      <c r="U42" s="1"/>
      <c r="V42" s="1"/>
      <c r="W42" s="1"/>
      <c r="X42" s="1"/>
      <c r="Y42" s="1"/>
      <c r="Z42" s="1">
        <f>$X$18-Y2-$AA$17*(1-BO4)</f>
        <v>-51.079999999999991</v>
      </c>
      <c r="AA42" s="1">
        <f>$X$18-Z2-$AA$17*(1-BP4)</f>
        <v>-59.230000000000004</v>
      </c>
      <c r="AC42" t="s">
        <v>88</v>
      </c>
      <c r="AD42" s="1">
        <f>SUM(AD24,AD29)</f>
        <v>1</v>
      </c>
      <c r="AE42" s="1">
        <f t="shared" ref="AE42:BR42" si="58">SUM(AE24,AE29)</f>
        <v>1</v>
      </c>
      <c r="AF42" s="1">
        <f t="shared" si="58"/>
        <v>1</v>
      </c>
      <c r="AG42" s="1">
        <f t="shared" si="58"/>
        <v>1</v>
      </c>
      <c r="AH42" s="1">
        <f t="shared" si="58"/>
        <v>1</v>
      </c>
      <c r="AI42" s="1">
        <f t="shared" si="58"/>
        <v>1</v>
      </c>
      <c r="AJ42" s="1">
        <f t="shared" si="58"/>
        <v>1</v>
      </c>
      <c r="AK42" s="1">
        <f t="shared" si="58"/>
        <v>0</v>
      </c>
      <c r="AL42" s="1">
        <f t="shared" si="58"/>
        <v>1</v>
      </c>
      <c r="AM42" s="1">
        <f t="shared" si="58"/>
        <v>1</v>
      </c>
      <c r="AN42" s="1">
        <f t="shared" si="58"/>
        <v>1</v>
      </c>
      <c r="AO42" s="1">
        <f t="shared" si="58"/>
        <v>1</v>
      </c>
      <c r="AP42" s="1">
        <f t="shared" si="58"/>
        <v>1</v>
      </c>
      <c r="AQ42" s="1">
        <f t="shared" si="58"/>
        <v>1</v>
      </c>
      <c r="AR42" s="1">
        <f t="shared" si="58"/>
        <v>1</v>
      </c>
      <c r="AS42" s="1">
        <f t="shared" si="58"/>
        <v>0</v>
      </c>
      <c r="AT42" s="1">
        <f t="shared" si="58"/>
        <v>1</v>
      </c>
      <c r="AU42" s="1">
        <f t="shared" si="58"/>
        <v>1</v>
      </c>
      <c r="AV42" s="1">
        <f t="shared" si="58"/>
        <v>1</v>
      </c>
      <c r="AW42" s="1">
        <f t="shared" si="58"/>
        <v>1</v>
      </c>
      <c r="AX42" s="1">
        <f t="shared" si="58"/>
        <v>1</v>
      </c>
      <c r="AY42" s="1">
        <f t="shared" si="58"/>
        <v>1</v>
      </c>
      <c r="AZ42" s="1">
        <f t="shared" si="58"/>
        <v>0</v>
      </c>
      <c r="BA42" s="1">
        <f t="shared" si="58"/>
        <v>1</v>
      </c>
      <c r="BB42" s="1">
        <f t="shared" si="58"/>
        <v>1</v>
      </c>
      <c r="BC42" s="1">
        <f t="shared" si="58"/>
        <v>1</v>
      </c>
      <c r="BD42" s="1">
        <f t="shared" si="58"/>
        <v>1</v>
      </c>
      <c r="BE42" s="1">
        <f t="shared" si="58"/>
        <v>1</v>
      </c>
      <c r="BF42" s="1">
        <f t="shared" si="58"/>
        <v>0</v>
      </c>
      <c r="BG42" s="1">
        <f t="shared" si="58"/>
        <v>1</v>
      </c>
      <c r="BH42" s="1">
        <f t="shared" si="58"/>
        <v>1</v>
      </c>
      <c r="BI42" s="1">
        <f t="shared" si="58"/>
        <v>1</v>
      </c>
      <c r="BJ42" s="1">
        <f t="shared" si="58"/>
        <v>0</v>
      </c>
      <c r="BK42" s="1">
        <f t="shared" si="58"/>
        <v>1</v>
      </c>
      <c r="BL42" s="1">
        <f t="shared" si="58"/>
        <v>1</v>
      </c>
      <c r="BM42" s="1">
        <f t="shared" si="58"/>
        <v>1</v>
      </c>
      <c r="BN42" s="1">
        <f t="shared" si="58"/>
        <v>0</v>
      </c>
      <c r="BO42" s="1">
        <f t="shared" si="58"/>
        <v>1</v>
      </c>
      <c r="BP42" s="1">
        <f t="shared" si="58"/>
        <v>1</v>
      </c>
      <c r="BQ42" s="1">
        <f t="shared" si="58"/>
        <v>0</v>
      </c>
      <c r="BR42" s="1">
        <f t="shared" si="58"/>
        <v>1</v>
      </c>
    </row>
    <row r="43" spans="1:70" x14ac:dyDescent="0.3">
      <c r="B43" s="3" t="s">
        <v>1</v>
      </c>
      <c r="C43" s="3" t="s">
        <v>2</v>
      </c>
      <c r="D43" t="s">
        <v>3</v>
      </c>
      <c r="E43" s="3" t="s">
        <v>4</v>
      </c>
      <c r="F43" t="s">
        <v>5</v>
      </c>
      <c r="G43" s="3" t="s">
        <v>6</v>
      </c>
      <c r="H43" t="s">
        <v>7</v>
      </c>
      <c r="I43" s="3" t="s">
        <v>8</v>
      </c>
      <c r="J43" s="3" t="s">
        <v>9</v>
      </c>
      <c r="K43" t="s">
        <v>10</v>
      </c>
      <c r="L43" s="3" t="s">
        <v>11</v>
      </c>
      <c r="M43" t="s">
        <v>12</v>
      </c>
      <c r="N43" s="3" t="s">
        <v>13</v>
      </c>
      <c r="O43" t="s">
        <v>14</v>
      </c>
      <c r="P43" s="3" t="s">
        <v>15</v>
      </c>
      <c r="R43" s="6" t="s">
        <v>13</v>
      </c>
      <c r="S43" s="1"/>
      <c r="T43" s="1"/>
      <c r="U43" s="1"/>
      <c r="V43" s="1"/>
      <c r="W43" s="1"/>
      <c r="X43" s="1"/>
      <c r="Y43" s="1"/>
      <c r="Z43" s="1"/>
      <c r="AA43" s="1">
        <f>$Y$18-Z2-$AA$17*(1-BR4)</f>
        <v>-56.790000000000056</v>
      </c>
      <c r="AC43" t="s">
        <v>60</v>
      </c>
      <c r="AD43" s="1">
        <f>SUM(AD14,AD11)</f>
        <v>1</v>
      </c>
      <c r="AE43" s="1">
        <f t="shared" ref="AE43:BR43" si="59">SUM(AE14,AE11)</f>
        <v>1</v>
      </c>
      <c r="AF43" s="1">
        <f t="shared" si="59"/>
        <v>1</v>
      </c>
      <c r="AG43" s="1">
        <f t="shared" si="59"/>
        <v>1</v>
      </c>
      <c r="AH43" s="1">
        <f t="shared" si="59"/>
        <v>1</v>
      </c>
      <c r="AI43" s="1">
        <f t="shared" si="59"/>
        <v>1</v>
      </c>
      <c r="AJ43" s="1">
        <f t="shared" si="59"/>
        <v>1</v>
      </c>
      <c r="AK43" s="1">
        <f t="shared" si="59"/>
        <v>0</v>
      </c>
      <c r="AL43" s="1">
        <f t="shared" si="59"/>
        <v>1</v>
      </c>
      <c r="AM43" s="1">
        <f t="shared" si="59"/>
        <v>1</v>
      </c>
      <c r="AN43" s="1">
        <f t="shared" si="59"/>
        <v>1</v>
      </c>
      <c r="AO43" s="1">
        <f t="shared" si="59"/>
        <v>1</v>
      </c>
      <c r="AP43" s="1">
        <f t="shared" si="59"/>
        <v>1</v>
      </c>
      <c r="AQ43" s="1">
        <f t="shared" si="59"/>
        <v>1</v>
      </c>
      <c r="AR43" s="1">
        <f t="shared" si="59"/>
        <v>1</v>
      </c>
      <c r="AS43" s="1">
        <f t="shared" si="59"/>
        <v>0</v>
      </c>
      <c r="AT43" s="1">
        <f t="shared" si="59"/>
        <v>1</v>
      </c>
      <c r="AU43" s="1">
        <f t="shared" si="59"/>
        <v>1</v>
      </c>
      <c r="AV43" s="1">
        <f t="shared" si="59"/>
        <v>1</v>
      </c>
      <c r="AW43" s="1">
        <f t="shared" si="59"/>
        <v>1</v>
      </c>
      <c r="AX43" s="1">
        <f t="shared" si="59"/>
        <v>1</v>
      </c>
      <c r="AY43" s="1">
        <f t="shared" si="59"/>
        <v>1</v>
      </c>
      <c r="AZ43" s="1">
        <f t="shared" si="59"/>
        <v>0</v>
      </c>
      <c r="BA43" s="1">
        <f t="shared" si="59"/>
        <v>1</v>
      </c>
      <c r="BB43" s="1">
        <f t="shared" si="59"/>
        <v>1</v>
      </c>
      <c r="BC43" s="1">
        <f t="shared" si="59"/>
        <v>1</v>
      </c>
      <c r="BD43" s="1">
        <f t="shared" si="59"/>
        <v>1</v>
      </c>
      <c r="BE43" s="1">
        <f t="shared" si="59"/>
        <v>1</v>
      </c>
      <c r="BF43" s="1">
        <f t="shared" si="59"/>
        <v>0</v>
      </c>
      <c r="BG43" s="1">
        <f t="shared" si="59"/>
        <v>1</v>
      </c>
      <c r="BH43" s="1">
        <f t="shared" si="59"/>
        <v>1</v>
      </c>
      <c r="BI43" s="1">
        <f t="shared" si="59"/>
        <v>1</v>
      </c>
      <c r="BJ43" s="1">
        <f t="shared" si="59"/>
        <v>0</v>
      </c>
      <c r="BK43" s="1">
        <f t="shared" si="59"/>
        <v>1</v>
      </c>
      <c r="BL43" s="1">
        <f t="shared" si="59"/>
        <v>1</v>
      </c>
      <c r="BM43" s="1">
        <f t="shared" si="59"/>
        <v>1</v>
      </c>
      <c r="BN43" s="1">
        <f t="shared" si="59"/>
        <v>0</v>
      </c>
      <c r="BO43" s="1">
        <f t="shared" si="59"/>
        <v>1</v>
      </c>
      <c r="BP43" s="1">
        <f t="shared" si="59"/>
        <v>1</v>
      </c>
      <c r="BQ43" s="1">
        <f t="shared" si="59"/>
        <v>0</v>
      </c>
      <c r="BR43" s="1">
        <f t="shared" si="59"/>
        <v>1</v>
      </c>
    </row>
    <row r="44" spans="1:70" x14ac:dyDescent="0.3">
      <c r="A44" s="1" t="s">
        <v>16</v>
      </c>
      <c r="B44" s="1"/>
      <c r="C44" s="1">
        <f>C16-B30</f>
        <v>0</v>
      </c>
      <c r="D44" s="1">
        <f t="shared" ref="D44:P48" si="60">D16-C30</f>
        <v>0</v>
      </c>
      <c r="E44" s="1">
        <f t="shared" si="60"/>
        <v>3.5527136788005009E-15</v>
      </c>
      <c r="F44" s="1">
        <f t="shared" si="60"/>
        <v>0</v>
      </c>
      <c r="G44" s="1">
        <f t="shared" si="60"/>
        <v>0.11999999999999389</v>
      </c>
      <c r="H44" s="1">
        <f t="shared" si="60"/>
        <v>0</v>
      </c>
      <c r="I44" s="1">
        <f t="shared" si="60"/>
        <v>0</v>
      </c>
      <c r="J44" s="1">
        <f t="shared" si="60"/>
        <v>1.9300000000000086</v>
      </c>
      <c r="K44" s="1">
        <f t="shared" si="60"/>
        <v>0</v>
      </c>
      <c r="L44" s="1">
        <f t="shared" si="60"/>
        <v>0</v>
      </c>
      <c r="M44" s="1">
        <f t="shared" si="60"/>
        <v>0</v>
      </c>
      <c r="N44" s="1">
        <f t="shared" si="60"/>
        <v>1.5500000000000131</v>
      </c>
      <c r="O44" s="1">
        <f t="shared" si="60"/>
        <v>0</v>
      </c>
      <c r="P44" s="11">
        <f t="shared" si="60"/>
        <v>6.0300000000000189</v>
      </c>
      <c r="R44" s="6" t="s">
        <v>15</v>
      </c>
      <c r="S44" s="1"/>
      <c r="T44" s="1"/>
      <c r="U44" s="1"/>
      <c r="V44" s="1"/>
      <c r="W44" s="1"/>
      <c r="X44" s="1"/>
      <c r="Y44" s="1"/>
      <c r="Z44" s="1"/>
      <c r="AA44" s="1"/>
      <c r="AC44" t="s">
        <v>71</v>
      </c>
      <c r="AD44" s="1">
        <f>SUM(AD21,AD17)</f>
        <v>1</v>
      </c>
      <c r="AE44" s="1">
        <f t="shared" ref="AE44:BR44" si="61">SUM(AE21,AE17)</f>
        <v>1</v>
      </c>
      <c r="AF44" s="1">
        <f t="shared" si="61"/>
        <v>1</v>
      </c>
      <c r="AG44" s="1">
        <f t="shared" si="61"/>
        <v>1</v>
      </c>
      <c r="AH44" s="1">
        <f t="shared" si="61"/>
        <v>1</v>
      </c>
      <c r="AI44" s="1">
        <f t="shared" si="61"/>
        <v>1</v>
      </c>
      <c r="AJ44" s="1">
        <f t="shared" si="61"/>
        <v>1</v>
      </c>
      <c r="AK44" s="1">
        <f t="shared" si="61"/>
        <v>0</v>
      </c>
      <c r="AL44" s="1">
        <f t="shared" si="61"/>
        <v>1</v>
      </c>
      <c r="AM44" s="1">
        <f t="shared" si="61"/>
        <v>1</v>
      </c>
      <c r="AN44" s="1">
        <f t="shared" si="61"/>
        <v>1</v>
      </c>
      <c r="AO44" s="1">
        <f t="shared" si="61"/>
        <v>1</v>
      </c>
      <c r="AP44" s="1">
        <f t="shared" si="61"/>
        <v>1</v>
      </c>
      <c r="AQ44" s="1">
        <f t="shared" si="61"/>
        <v>1</v>
      </c>
      <c r="AR44" s="1">
        <f t="shared" si="61"/>
        <v>1</v>
      </c>
      <c r="AS44" s="1">
        <f t="shared" si="61"/>
        <v>0</v>
      </c>
      <c r="AT44" s="1">
        <f t="shared" si="61"/>
        <v>1</v>
      </c>
      <c r="AU44" s="1">
        <f t="shared" si="61"/>
        <v>1</v>
      </c>
      <c r="AV44" s="1">
        <f t="shared" si="61"/>
        <v>1</v>
      </c>
      <c r="AW44" s="1">
        <f t="shared" si="61"/>
        <v>1</v>
      </c>
      <c r="AX44" s="1">
        <f t="shared" si="61"/>
        <v>1</v>
      </c>
      <c r="AY44" s="1">
        <f t="shared" si="61"/>
        <v>1</v>
      </c>
      <c r="AZ44" s="1">
        <f t="shared" si="61"/>
        <v>0</v>
      </c>
      <c r="BA44" s="1">
        <f t="shared" si="61"/>
        <v>1</v>
      </c>
      <c r="BB44" s="1">
        <f t="shared" si="61"/>
        <v>1</v>
      </c>
      <c r="BC44" s="1">
        <f t="shared" si="61"/>
        <v>1</v>
      </c>
      <c r="BD44" s="1">
        <f t="shared" si="61"/>
        <v>1</v>
      </c>
      <c r="BE44" s="1">
        <f t="shared" si="61"/>
        <v>1</v>
      </c>
      <c r="BF44" s="1">
        <f t="shared" si="61"/>
        <v>0</v>
      </c>
      <c r="BG44" s="1">
        <f t="shared" si="61"/>
        <v>1</v>
      </c>
      <c r="BH44" s="1">
        <f t="shared" si="61"/>
        <v>1</v>
      </c>
      <c r="BI44" s="1">
        <f t="shared" si="61"/>
        <v>1</v>
      </c>
      <c r="BJ44" s="1">
        <f t="shared" si="61"/>
        <v>0</v>
      </c>
      <c r="BK44" s="1">
        <f t="shared" si="61"/>
        <v>1</v>
      </c>
      <c r="BL44" s="1">
        <f t="shared" si="61"/>
        <v>1</v>
      </c>
      <c r="BM44" s="1">
        <f t="shared" si="61"/>
        <v>1</v>
      </c>
      <c r="BN44" s="1">
        <f t="shared" si="61"/>
        <v>0</v>
      </c>
      <c r="BO44" s="1">
        <f t="shared" si="61"/>
        <v>1</v>
      </c>
      <c r="BP44" s="1">
        <f t="shared" si="61"/>
        <v>1</v>
      </c>
      <c r="BQ44" s="1">
        <f t="shared" si="61"/>
        <v>0</v>
      </c>
      <c r="BR44" s="1">
        <f t="shared" si="61"/>
        <v>1</v>
      </c>
    </row>
    <row r="45" spans="1:70" x14ac:dyDescent="0.3">
      <c r="A45" s="8" t="s">
        <v>18</v>
      </c>
      <c r="B45" s="8"/>
      <c r="C45" s="1">
        <f>C17-B31</f>
        <v>0.11999999999999833</v>
      </c>
      <c r="D45" s="1">
        <f t="shared" si="60"/>
        <v>0</v>
      </c>
      <c r="E45" s="1">
        <f t="shared" si="60"/>
        <v>0.65999999999999659</v>
      </c>
      <c r="F45" s="1">
        <f t="shared" si="60"/>
        <v>0</v>
      </c>
      <c r="G45" s="1">
        <f t="shared" si="60"/>
        <v>-7.1054273576010019E-15</v>
      </c>
      <c r="H45" s="1">
        <f t="shared" si="60"/>
        <v>0</v>
      </c>
      <c r="I45" s="1">
        <f t="shared" si="60"/>
        <v>1.2400000000000251</v>
      </c>
      <c r="J45" s="1">
        <f t="shared" si="60"/>
        <v>1.4600000000000044</v>
      </c>
      <c r="K45" s="1">
        <f t="shared" si="60"/>
        <v>0</v>
      </c>
      <c r="L45" s="1">
        <f t="shared" si="60"/>
        <v>0.91999999999997506</v>
      </c>
      <c r="M45" s="1">
        <f t="shared" si="60"/>
        <v>3.5527136788005009E-14</v>
      </c>
      <c r="N45" s="1">
        <f t="shared" si="60"/>
        <v>2.6500000000000021</v>
      </c>
      <c r="O45" s="1">
        <f t="shared" si="60"/>
        <v>0</v>
      </c>
      <c r="P45" s="11">
        <f t="shared" si="60"/>
        <v>6.3800000000000168</v>
      </c>
      <c r="AC45" t="s">
        <v>90</v>
      </c>
      <c r="AD45" s="1">
        <f>SUM(AD30,AD25)</f>
        <v>1</v>
      </c>
      <c r="AE45" s="1">
        <f t="shared" ref="AE45:BR45" si="62">SUM(AE30,AE25)</f>
        <v>1</v>
      </c>
      <c r="AF45" s="1">
        <f t="shared" si="62"/>
        <v>1</v>
      </c>
      <c r="AG45" s="1">
        <f t="shared" si="62"/>
        <v>1</v>
      </c>
      <c r="AH45" s="1">
        <f t="shared" si="62"/>
        <v>1</v>
      </c>
      <c r="AI45" s="1">
        <f t="shared" si="62"/>
        <v>1</v>
      </c>
      <c r="AJ45" s="1">
        <f t="shared" si="62"/>
        <v>1</v>
      </c>
      <c r="AK45" s="1">
        <f t="shared" si="62"/>
        <v>0</v>
      </c>
      <c r="AL45" s="1">
        <f t="shared" si="62"/>
        <v>1</v>
      </c>
      <c r="AM45" s="1">
        <f t="shared" si="62"/>
        <v>1</v>
      </c>
      <c r="AN45" s="1">
        <f t="shared" si="62"/>
        <v>1</v>
      </c>
      <c r="AO45" s="1">
        <f t="shared" si="62"/>
        <v>1</v>
      </c>
      <c r="AP45" s="1">
        <f t="shared" si="62"/>
        <v>1</v>
      </c>
      <c r="AQ45" s="1">
        <f t="shared" si="62"/>
        <v>1</v>
      </c>
      <c r="AR45" s="1">
        <f t="shared" si="62"/>
        <v>1</v>
      </c>
      <c r="AS45" s="1">
        <f t="shared" si="62"/>
        <v>0</v>
      </c>
      <c r="AT45" s="1">
        <f t="shared" si="62"/>
        <v>1</v>
      </c>
      <c r="AU45" s="1">
        <f t="shared" si="62"/>
        <v>1</v>
      </c>
      <c r="AV45" s="1">
        <f t="shared" si="62"/>
        <v>1</v>
      </c>
      <c r="AW45" s="1">
        <f t="shared" si="62"/>
        <v>1</v>
      </c>
      <c r="AX45" s="1">
        <f t="shared" si="62"/>
        <v>1</v>
      </c>
      <c r="AY45" s="1">
        <f t="shared" si="62"/>
        <v>1</v>
      </c>
      <c r="AZ45" s="1">
        <f t="shared" si="62"/>
        <v>0</v>
      </c>
      <c r="BA45" s="1">
        <f t="shared" si="62"/>
        <v>1</v>
      </c>
      <c r="BB45" s="1">
        <f t="shared" si="62"/>
        <v>1</v>
      </c>
      <c r="BC45" s="1">
        <f t="shared" si="62"/>
        <v>1</v>
      </c>
      <c r="BD45" s="1">
        <f t="shared" si="62"/>
        <v>1</v>
      </c>
      <c r="BE45" s="1">
        <f t="shared" si="62"/>
        <v>1</v>
      </c>
      <c r="BF45" s="1">
        <f t="shared" si="62"/>
        <v>0</v>
      </c>
      <c r="BG45" s="1">
        <f t="shared" si="62"/>
        <v>1</v>
      </c>
      <c r="BH45" s="1">
        <f t="shared" si="62"/>
        <v>1</v>
      </c>
      <c r="BI45" s="1">
        <f t="shared" si="62"/>
        <v>1</v>
      </c>
      <c r="BJ45" s="1">
        <f t="shared" si="62"/>
        <v>0</v>
      </c>
      <c r="BK45" s="1">
        <f t="shared" si="62"/>
        <v>1</v>
      </c>
      <c r="BL45" s="1">
        <f t="shared" si="62"/>
        <v>1</v>
      </c>
      <c r="BM45" s="1">
        <f t="shared" si="62"/>
        <v>1</v>
      </c>
      <c r="BN45" s="1">
        <f t="shared" si="62"/>
        <v>0</v>
      </c>
      <c r="BO45" s="1">
        <f t="shared" si="62"/>
        <v>1</v>
      </c>
      <c r="BP45" s="1">
        <f t="shared" si="62"/>
        <v>1</v>
      </c>
      <c r="BQ45" s="1">
        <f t="shared" si="62"/>
        <v>0</v>
      </c>
      <c r="BR45" s="1">
        <f t="shared" si="62"/>
        <v>1</v>
      </c>
    </row>
    <row r="46" spans="1:70" x14ac:dyDescent="0.3">
      <c r="A46" s="1" t="s">
        <v>28</v>
      </c>
      <c r="B46" s="1"/>
      <c r="C46" s="1">
        <f t="shared" ref="C46" si="63">C18-B32</f>
        <v>1.0100000000000033</v>
      </c>
      <c r="D46" s="1">
        <f t="shared" si="60"/>
        <v>0</v>
      </c>
      <c r="E46" s="1">
        <f t="shared" si="60"/>
        <v>0</v>
      </c>
      <c r="F46" s="1">
        <f t="shared" si="60"/>
        <v>0</v>
      </c>
      <c r="G46" s="1">
        <f t="shared" si="60"/>
        <v>1.5500000000000131</v>
      </c>
      <c r="H46" s="1">
        <f t="shared" si="60"/>
        <v>0</v>
      </c>
      <c r="I46" s="1">
        <f t="shared" si="60"/>
        <v>0.89000000000002188</v>
      </c>
      <c r="J46" s="1">
        <f t="shared" si="60"/>
        <v>3.3600000000000012</v>
      </c>
      <c r="K46" s="1">
        <f t="shared" si="60"/>
        <v>0</v>
      </c>
      <c r="L46" s="1">
        <f t="shared" si="60"/>
        <v>3.3800000000000132</v>
      </c>
      <c r="M46" s="1">
        <f t="shared" si="60"/>
        <v>0</v>
      </c>
      <c r="N46" s="1">
        <f t="shared" si="60"/>
        <v>1.549999999999951</v>
      </c>
      <c r="O46" s="1">
        <f t="shared" si="60"/>
        <v>5.6843418860808015E-14</v>
      </c>
      <c r="P46" s="11">
        <f t="shared" si="60"/>
        <v>5.1299999999999457</v>
      </c>
      <c r="AC46" t="s">
        <v>72</v>
      </c>
      <c r="AD46" s="1">
        <f>SUM(AD22,AD18)</f>
        <v>1</v>
      </c>
      <c r="AE46" s="1">
        <f t="shared" ref="AE46:BR46" si="64">SUM(AE22,AE18)</f>
        <v>1</v>
      </c>
      <c r="AF46" s="1">
        <f t="shared" si="64"/>
        <v>1</v>
      </c>
      <c r="AG46" s="1">
        <f t="shared" si="64"/>
        <v>1</v>
      </c>
      <c r="AH46" s="1">
        <f t="shared" si="64"/>
        <v>1</v>
      </c>
      <c r="AI46" s="1">
        <f t="shared" si="64"/>
        <v>1</v>
      </c>
      <c r="AJ46" s="1">
        <f t="shared" si="64"/>
        <v>1</v>
      </c>
      <c r="AK46" s="1">
        <f t="shared" si="64"/>
        <v>0</v>
      </c>
      <c r="AL46" s="1">
        <f t="shared" si="64"/>
        <v>1</v>
      </c>
      <c r="AM46" s="1">
        <f t="shared" si="64"/>
        <v>1</v>
      </c>
      <c r="AN46" s="1">
        <f t="shared" si="64"/>
        <v>1</v>
      </c>
      <c r="AO46" s="1">
        <f t="shared" si="64"/>
        <v>1</v>
      </c>
      <c r="AP46" s="1">
        <f t="shared" si="64"/>
        <v>1</v>
      </c>
      <c r="AQ46" s="1">
        <f t="shared" si="64"/>
        <v>1</v>
      </c>
      <c r="AR46" s="1">
        <f t="shared" si="64"/>
        <v>1</v>
      </c>
      <c r="AS46" s="1">
        <f t="shared" si="64"/>
        <v>0</v>
      </c>
      <c r="AT46" s="1">
        <f t="shared" si="64"/>
        <v>1</v>
      </c>
      <c r="AU46" s="1">
        <f t="shared" si="64"/>
        <v>1</v>
      </c>
      <c r="AV46" s="1">
        <f t="shared" si="64"/>
        <v>1</v>
      </c>
      <c r="AW46" s="1">
        <f t="shared" si="64"/>
        <v>1</v>
      </c>
      <c r="AX46" s="1">
        <f t="shared" si="64"/>
        <v>1</v>
      </c>
      <c r="AY46" s="1">
        <f t="shared" si="64"/>
        <v>1</v>
      </c>
      <c r="AZ46" s="1">
        <f t="shared" si="64"/>
        <v>0</v>
      </c>
      <c r="BA46" s="1">
        <f t="shared" si="64"/>
        <v>1</v>
      </c>
      <c r="BB46" s="1">
        <f t="shared" si="64"/>
        <v>1</v>
      </c>
      <c r="BC46" s="1">
        <f t="shared" si="64"/>
        <v>1</v>
      </c>
      <c r="BD46" s="1">
        <f t="shared" si="64"/>
        <v>1</v>
      </c>
      <c r="BE46" s="1">
        <f t="shared" si="64"/>
        <v>1</v>
      </c>
      <c r="BF46" s="1">
        <f t="shared" si="64"/>
        <v>0</v>
      </c>
      <c r="BG46" s="1">
        <f t="shared" si="64"/>
        <v>1</v>
      </c>
      <c r="BH46" s="1">
        <f t="shared" si="64"/>
        <v>1</v>
      </c>
      <c r="BI46" s="1">
        <f t="shared" si="64"/>
        <v>1</v>
      </c>
      <c r="BJ46" s="1">
        <f t="shared" si="64"/>
        <v>0</v>
      </c>
      <c r="BK46" s="1">
        <f>SUM(BK22,BK18)</f>
        <v>1</v>
      </c>
      <c r="BL46" s="1">
        <f t="shared" si="64"/>
        <v>1</v>
      </c>
      <c r="BM46" s="1">
        <f t="shared" si="64"/>
        <v>1</v>
      </c>
      <c r="BN46" s="1">
        <f t="shared" si="64"/>
        <v>0</v>
      </c>
      <c r="BO46" s="1">
        <f t="shared" si="64"/>
        <v>1</v>
      </c>
      <c r="BP46" s="1">
        <f t="shared" si="64"/>
        <v>1</v>
      </c>
      <c r="BQ46" s="1">
        <f t="shared" si="64"/>
        <v>0</v>
      </c>
      <c r="BR46" s="1">
        <f t="shared" si="64"/>
        <v>1</v>
      </c>
    </row>
    <row r="47" spans="1:70" x14ac:dyDescent="0.3">
      <c r="A47" s="1" t="s">
        <v>30</v>
      </c>
      <c r="B47" s="1"/>
      <c r="C47" s="1">
        <f>C19-B33</f>
        <v>1.5500000000000096</v>
      </c>
      <c r="D47" s="1">
        <f t="shared" si="60"/>
        <v>0</v>
      </c>
      <c r="E47" s="1">
        <f t="shared" si="60"/>
        <v>1.4300000000000122</v>
      </c>
      <c r="F47" s="1">
        <f t="shared" si="60"/>
        <v>0</v>
      </c>
      <c r="G47" s="1">
        <f t="shared" si="60"/>
        <v>1.2500000000000071</v>
      </c>
      <c r="H47" s="1">
        <f t="shared" si="60"/>
        <v>-3.1974423109204508E-14</v>
      </c>
      <c r="I47" s="1">
        <f t="shared" si="60"/>
        <v>1.6600000000000428</v>
      </c>
      <c r="J47" s="1">
        <f t="shared" si="60"/>
        <v>4.7200000000000095</v>
      </c>
      <c r="K47" s="1">
        <f t="shared" si="60"/>
        <v>0</v>
      </c>
      <c r="L47" s="1">
        <f t="shared" si="60"/>
        <v>0</v>
      </c>
      <c r="M47" s="1">
        <f t="shared" si="60"/>
        <v>0</v>
      </c>
      <c r="N47" s="1">
        <f t="shared" si="60"/>
        <v>2.7000000000000242</v>
      </c>
      <c r="O47" s="1">
        <f t="shared" si="60"/>
        <v>0</v>
      </c>
      <c r="P47" s="11">
        <f t="shared" si="60"/>
        <v>2.690000000000019</v>
      </c>
      <c r="R47" t="s">
        <v>38</v>
      </c>
      <c r="AC47" t="s">
        <v>91</v>
      </c>
      <c r="AD47" s="1">
        <f>SUM(AD31,AD26)</f>
        <v>1</v>
      </c>
      <c r="AE47" s="1">
        <f t="shared" ref="AE47:BR47" si="65">SUM(AE31,AE26)</f>
        <v>1</v>
      </c>
      <c r="AF47" s="1">
        <f t="shared" si="65"/>
        <v>1</v>
      </c>
      <c r="AG47" s="1">
        <f t="shared" si="65"/>
        <v>1</v>
      </c>
      <c r="AH47" s="1">
        <f t="shared" si="65"/>
        <v>1</v>
      </c>
      <c r="AI47" s="1">
        <f t="shared" si="65"/>
        <v>1</v>
      </c>
      <c r="AJ47" s="1">
        <f t="shared" si="65"/>
        <v>1</v>
      </c>
      <c r="AK47" s="1">
        <f t="shared" si="65"/>
        <v>0</v>
      </c>
      <c r="AL47" s="1">
        <f t="shared" si="65"/>
        <v>1</v>
      </c>
      <c r="AM47" s="1">
        <f t="shared" si="65"/>
        <v>1</v>
      </c>
      <c r="AN47" s="1">
        <f t="shared" si="65"/>
        <v>1</v>
      </c>
      <c r="AO47" s="1">
        <f t="shared" si="65"/>
        <v>1</v>
      </c>
      <c r="AP47" s="1">
        <f t="shared" si="65"/>
        <v>1</v>
      </c>
      <c r="AQ47" s="1">
        <f t="shared" si="65"/>
        <v>1</v>
      </c>
      <c r="AR47" s="1">
        <f t="shared" si="65"/>
        <v>1</v>
      </c>
      <c r="AS47" s="1">
        <f t="shared" si="65"/>
        <v>0</v>
      </c>
      <c r="AT47" s="1">
        <f t="shared" si="65"/>
        <v>1</v>
      </c>
      <c r="AU47" s="1">
        <f t="shared" si="65"/>
        <v>1</v>
      </c>
      <c r="AV47" s="1">
        <f t="shared" si="65"/>
        <v>1</v>
      </c>
      <c r="AW47" s="1">
        <f t="shared" si="65"/>
        <v>1</v>
      </c>
      <c r="AX47" s="1">
        <f t="shared" si="65"/>
        <v>1</v>
      </c>
      <c r="AY47" s="1">
        <f t="shared" si="65"/>
        <v>1</v>
      </c>
      <c r="AZ47" s="1">
        <f t="shared" si="65"/>
        <v>0</v>
      </c>
      <c r="BA47" s="1">
        <f t="shared" si="65"/>
        <v>1</v>
      </c>
      <c r="BB47" s="1">
        <f t="shared" si="65"/>
        <v>1</v>
      </c>
      <c r="BC47" s="1">
        <f t="shared" si="65"/>
        <v>1</v>
      </c>
      <c r="BD47" s="1">
        <f t="shared" si="65"/>
        <v>1</v>
      </c>
      <c r="BE47" s="1">
        <f t="shared" si="65"/>
        <v>1</v>
      </c>
      <c r="BF47" s="1">
        <f t="shared" si="65"/>
        <v>0</v>
      </c>
      <c r="BG47" s="1">
        <f t="shared" si="65"/>
        <v>1</v>
      </c>
      <c r="BH47" s="1">
        <f t="shared" si="65"/>
        <v>1</v>
      </c>
      <c r="BI47" s="1">
        <f t="shared" si="65"/>
        <v>1</v>
      </c>
      <c r="BJ47" s="1">
        <f t="shared" si="65"/>
        <v>0</v>
      </c>
      <c r="BK47" s="1">
        <f t="shared" si="65"/>
        <v>1</v>
      </c>
      <c r="BL47" s="1">
        <f t="shared" si="65"/>
        <v>1</v>
      </c>
      <c r="BM47" s="1">
        <f t="shared" si="65"/>
        <v>1</v>
      </c>
      <c r="BN47" s="1">
        <f t="shared" si="65"/>
        <v>0</v>
      </c>
      <c r="BO47" s="1">
        <f t="shared" si="65"/>
        <v>1</v>
      </c>
      <c r="BP47" s="1">
        <f t="shared" si="65"/>
        <v>1</v>
      </c>
      <c r="BQ47" s="1">
        <f t="shared" si="65"/>
        <v>0</v>
      </c>
      <c r="BR47" s="1">
        <f t="shared" si="65"/>
        <v>1</v>
      </c>
    </row>
    <row r="48" spans="1:70" x14ac:dyDescent="0.3">
      <c r="A48" s="1" t="s">
        <v>27</v>
      </c>
      <c r="B48" s="1"/>
      <c r="C48" s="1">
        <f>C20-B34</f>
        <v>2.5600000000000147</v>
      </c>
      <c r="D48" s="1">
        <f t="shared" si="60"/>
        <v>0</v>
      </c>
      <c r="E48" s="1">
        <f t="shared" si="60"/>
        <v>0</v>
      </c>
      <c r="F48" s="1">
        <f t="shared" si="60"/>
        <v>0</v>
      </c>
      <c r="G48" s="1">
        <f t="shared" si="60"/>
        <v>3.7800000000000118</v>
      </c>
      <c r="H48" s="1">
        <f t="shared" si="60"/>
        <v>0</v>
      </c>
      <c r="I48" s="1">
        <f t="shared" si="60"/>
        <v>2.8100000000000165</v>
      </c>
      <c r="J48" s="1">
        <f t="shared" si="60"/>
        <v>2.4900000000000126</v>
      </c>
      <c r="K48" s="1">
        <f t="shared" si="60"/>
        <v>0</v>
      </c>
      <c r="L48" s="1">
        <f t="shared" si="60"/>
        <v>-7.815970093361102E-14</v>
      </c>
      <c r="M48" s="1">
        <f t="shared" si="60"/>
        <v>7.815970093361102E-14</v>
      </c>
      <c r="N48" s="1">
        <f t="shared" si="60"/>
        <v>2.4599999999999227</v>
      </c>
      <c r="O48" s="1">
        <f t="shared" si="60"/>
        <v>8.5265128291212022E-14</v>
      </c>
      <c r="P48" s="11">
        <f t="shared" si="60"/>
        <v>1.2600000000000122</v>
      </c>
      <c r="R48" s="1"/>
      <c r="S48" s="6" t="s">
        <v>1</v>
      </c>
      <c r="T48" s="6" t="s">
        <v>2</v>
      </c>
      <c r="U48" s="6" t="s">
        <v>4</v>
      </c>
      <c r="V48" s="6" t="s">
        <v>6</v>
      </c>
      <c r="W48" s="6" t="s">
        <v>8</v>
      </c>
      <c r="X48" s="6" t="s">
        <v>9</v>
      </c>
      <c r="Y48" s="6" t="s">
        <v>11</v>
      </c>
      <c r="Z48" s="6" t="s">
        <v>13</v>
      </c>
      <c r="AA48" s="6" t="s">
        <v>15</v>
      </c>
      <c r="AC48" s="42" t="s">
        <v>92</v>
      </c>
      <c r="AD48" s="1">
        <f>SUM(AD32,AD27)</f>
        <v>1</v>
      </c>
      <c r="AE48" s="1">
        <f t="shared" ref="AE48:BR48" si="66">SUM(AE32,AE27)</f>
        <v>1</v>
      </c>
      <c r="AF48" s="1">
        <f t="shared" si="66"/>
        <v>1</v>
      </c>
      <c r="AG48" s="1">
        <f t="shared" si="66"/>
        <v>1</v>
      </c>
      <c r="AH48" s="1">
        <f t="shared" si="66"/>
        <v>1</v>
      </c>
      <c r="AI48" s="1">
        <f t="shared" si="66"/>
        <v>1</v>
      </c>
      <c r="AJ48" s="1">
        <f t="shared" si="66"/>
        <v>1</v>
      </c>
      <c r="AK48" s="1">
        <f t="shared" si="66"/>
        <v>0</v>
      </c>
      <c r="AL48" s="1">
        <f t="shared" si="66"/>
        <v>1</v>
      </c>
      <c r="AM48" s="1">
        <f t="shared" si="66"/>
        <v>1</v>
      </c>
      <c r="AN48" s="1">
        <f t="shared" si="66"/>
        <v>1</v>
      </c>
      <c r="AO48" s="1">
        <f t="shared" si="66"/>
        <v>1</v>
      </c>
      <c r="AP48" s="1">
        <f t="shared" si="66"/>
        <v>1</v>
      </c>
      <c r="AQ48" s="1">
        <f t="shared" si="66"/>
        <v>1</v>
      </c>
      <c r="AR48" s="1">
        <f t="shared" si="66"/>
        <v>1</v>
      </c>
      <c r="AS48" s="1">
        <f t="shared" si="66"/>
        <v>0</v>
      </c>
      <c r="AT48" s="1">
        <f t="shared" si="66"/>
        <v>1</v>
      </c>
      <c r="AU48" s="1">
        <f t="shared" si="66"/>
        <v>1</v>
      </c>
      <c r="AV48" s="1">
        <f t="shared" si="66"/>
        <v>1</v>
      </c>
      <c r="AW48" s="1">
        <f t="shared" si="66"/>
        <v>1</v>
      </c>
      <c r="AX48" s="1">
        <f t="shared" si="66"/>
        <v>1</v>
      </c>
      <c r="AY48" s="1">
        <f t="shared" si="66"/>
        <v>1</v>
      </c>
      <c r="AZ48" s="1">
        <f t="shared" si="66"/>
        <v>0</v>
      </c>
      <c r="BA48" s="1">
        <f t="shared" si="66"/>
        <v>1</v>
      </c>
      <c r="BB48" s="1">
        <f t="shared" si="66"/>
        <v>1</v>
      </c>
      <c r="BC48" s="1">
        <f t="shared" si="66"/>
        <v>1</v>
      </c>
      <c r="BD48" s="1">
        <f t="shared" si="66"/>
        <v>1</v>
      </c>
      <c r="BE48" s="1">
        <f t="shared" si="66"/>
        <v>1</v>
      </c>
      <c r="BF48" s="1">
        <f t="shared" si="66"/>
        <v>0</v>
      </c>
      <c r="BG48" s="1">
        <f t="shared" si="66"/>
        <v>1</v>
      </c>
      <c r="BH48" s="1">
        <f t="shared" si="66"/>
        <v>1</v>
      </c>
      <c r="BI48" s="1">
        <f t="shared" si="66"/>
        <v>1</v>
      </c>
      <c r="BJ48" s="1">
        <f t="shared" si="66"/>
        <v>0</v>
      </c>
      <c r="BK48" s="1">
        <f t="shared" si="66"/>
        <v>1</v>
      </c>
      <c r="BL48" s="1">
        <f t="shared" si="66"/>
        <v>1</v>
      </c>
      <c r="BM48" s="1">
        <f t="shared" si="66"/>
        <v>1</v>
      </c>
      <c r="BN48" s="1">
        <f t="shared" si="66"/>
        <v>0</v>
      </c>
      <c r="BO48" s="1">
        <f t="shared" si="66"/>
        <v>1</v>
      </c>
      <c r="BP48" s="1">
        <f t="shared" si="66"/>
        <v>1</v>
      </c>
      <c r="BQ48" s="1">
        <f t="shared" si="66"/>
        <v>0</v>
      </c>
      <c r="BR48" s="1">
        <f t="shared" si="66"/>
        <v>1</v>
      </c>
    </row>
    <row r="49" spans="1:70" x14ac:dyDescent="0.3">
      <c r="A49" s="1" t="s">
        <v>29</v>
      </c>
      <c r="B49" s="1"/>
      <c r="C49" s="1">
        <f>C21-B35</f>
        <v>2.3200000000000109</v>
      </c>
      <c r="D49" s="1">
        <f t="shared" ref="D49" si="67">D21-C35</f>
        <v>0</v>
      </c>
      <c r="E49" s="1">
        <f t="shared" ref="E49" si="68">E21-D35</f>
        <v>3.350000000000005</v>
      </c>
      <c r="F49" s="1">
        <f t="shared" ref="F49" si="69">F21-E35</f>
        <v>-5.3290705182007514E-14</v>
      </c>
      <c r="G49" s="1">
        <f t="shared" ref="G49" si="70">G21-F35</f>
        <v>0.33000000000000185</v>
      </c>
      <c r="H49" s="1">
        <f t="shared" ref="H49" si="71">H21-G35</f>
        <v>4.6185277824406512E-14</v>
      </c>
      <c r="I49" s="1">
        <f t="shared" ref="I49" si="72">I21-H35</f>
        <v>1.7100000000000328</v>
      </c>
      <c r="J49" s="1">
        <f t="shared" ref="J49" si="73">J21-I35</f>
        <v>0.12000000000000455</v>
      </c>
      <c r="K49" s="1">
        <f t="shared" ref="K49" si="74">K21-J35</f>
        <v>-8.5265128291212022E-14</v>
      </c>
      <c r="L49" s="1">
        <f t="shared" ref="L49" si="75">L21-K35</f>
        <v>3.2800000000000864</v>
      </c>
      <c r="M49" s="1">
        <f t="shared" ref="M49" si="76">M21-L35</f>
        <v>0</v>
      </c>
      <c r="N49" s="1">
        <f t="shared" ref="N49" si="77">N21-M35</f>
        <v>0</v>
      </c>
      <c r="O49" s="1">
        <f t="shared" ref="O49" si="78">O21-N35</f>
        <v>0</v>
      </c>
      <c r="P49" s="11">
        <f t="shared" ref="P49" si="79">P21-O35</f>
        <v>0.25000000000000711</v>
      </c>
      <c r="R49" s="6" t="s">
        <v>1</v>
      </c>
      <c r="S49" s="1"/>
      <c r="T49" s="1"/>
      <c r="U49" s="1">
        <f>$R$18-T3-$AA$17*(1-AD5)</f>
        <v>8.8817841970012523E-16</v>
      </c>
      <c r="V49" s="1">
        <f t="shared" ref="V49:AA49" si="80">$R$18-U3-$AA$17*(1-AE5)</f>
        <v>-0.88999999999999879</v>
      </c>
      <c r="W49" s="1">
        <f t="shared" si="80"/>
        <v>-4.2500000000000231</v>
      </c>
      <c r="X49" s="1">
        <f t="shared" si="80"/>
        <v>-5.7100000000000275</v>
      </c>
      <c r="Y49" s="1">
        <f t="shared" si="80"/>
        <v>-10.170000000000005</v>
      </c>
      <c r="Z49" s="1">
        <f t="shared" si="80"/>
        <v>-13.710000000000043</v>
      </c>
      <c r="AA49" s="1">
        <f t="shared" si="80"/>
        <v>-22.210000000000061</v>
      </c>
      <c r="AD49" s="1"/>
      <c r="AE49" s="1"/>
      <c r="AF49" s="1"/>
      <c r="AG49" s="1"/>
      <c r="AH49" s="1"/>
      <c r="AI49" s="1"/>
      <c r="AJ49" s="1"/>
      <c r="AL49" s="1"/>
      <c r="AM49" s="1"/>
      <c r="AN49" s="1"/>
      <c r="AO49" s="1"/>
      <c r="AP49" s="1"/>
      <c r="AQ49" s="1"/>
      <c r="AR49" s="1"/>
      <c r="AT49" s="1"/>
      <c r="AU49" s="1"/>
      <c r="AV49" s="1"/>
      <c r="AW49" s="1"/>
      <c r="AX49" s="1"/>
      <c r="AY49" s="1"/>
      <c r="BA49" s="1"/>
      <c r="BB49" s="1"/>
      <c r="BC49" s="1"/>
      <c r="BD49" s="1"/>
      <c r="BE49" s="1"/>
      <c r="BG49" s="1"/>
      <c r="BH49" s="1"/>
      <c r="BI49" s="1"/>
      <c r="BK49" s="1"/>
      <c r="BL49" s="1"/>
      <c r="BM49" s="1"/>
      <c r="BO49" s="1"/>
      <c r="BP49" s="1"/>
      <c r="BR49" s="1"/>
    </row>
    <row r="50" spans="1:70" x14ac:dyDescent="0.3">
      <c r="A50" t="s">
        <v>19</v>
      </c>
      <c r="R50" s="6" t="s">
        <v>2</v>
      </c>
      <c r="S50" s="1"/>
      <c r="T50" s="1"/>
      <c r="U50" s="1">
        <f>$S$18-T3-$AA$17*(1-AL5)</f>
        <v>-60.24</v>
      </c>
      <c r="V50" s="1">
        <f t="shared" ref="V50:AA50" si="81">$S$18-U3-$AA$17*(1-AM5)</f>
        <v>-61.13</v>
      </c>
      <c r="W50" s="1">
        <f t="shared" si="81"/>
        <v>-2.8900000000000201</v>
      </c>
      <c r="X50" s="1">
        <f t="shared" si="81"/>
        <v>-4.3500000000000245</v>
      </c>
      <c r="Y50" s="1">
        <f t="shared" si="81"/>
        <v>-8.8100000000000023</v>
      </c>
      <c r="Z50" s="1">
        <f t="shared" si="81"/>
        <v>-12.350000000000041</v>
      </c>
      <c r="AA50" s="1">
        <f t="shared" si="81"/>
        <v>-20.850000000000058</v>
      </c>
      <c r="AD50" s="1"/>
      <c r="AE50" s="1"/>
      <c r="AF50" s="1"/>
      <c r="AG50" s="1"/>
      <c r="AH50" s="1"/>
      <c r="AI50" s="1"/>
      <c r="AJ50" s="1"/>
      <c r="AL50" s="1"/>
      <c r="AM50" s="1"/>
      <c r="AN50" s="1"/>
      <c r="AO50" s="1"/>
      <c r="AP50" s="1"/>
      <c r="AQ50" s="1"/>
      <c r="AR50" s="1"/>
      <c r="AT50" s="1"/>
      <c r="AU50" s="1"/>
      <c r="AV50" s="1"/>
      <c r="AW50" s="1"/>
      <c r="AX50" s="1"/>
      <c r="AY50" s="1"/>
      <c r="BA50" s="1"/>
      <c r="BB50" s="1"/>
      <c r="BC50" s="1"/>
      <c r="BD50" s="1"/>
      <c r="BE50" s="1"/>
      <c r="BG50" s="1"/>
      <c r="BH50" s="1"/>
      <c r="BI50" s="1"/>
      <c r="BK50" s="1"/>
      <c r="BL50" s="1"/>
      <c r="BM50" s="1"/>
      <c r="BO50" s="1"/>
      <c r="BP50" s="1"/>
      <c r="BR50" s="1"/>
    </row>
    <row r="51" spans="1:70" x14ac:dyDescent="0.3">
      <c r="A51" t="s">
        <v>20</v>
      </c>
      <c r="R51" s="6" t="s">
        <v>4</v>
      </c>
      <c r="S51" s="1"/>
      <c r="T51" s="1"/>
      <c r="U51" s="1"/>
      <c r="V51" s="1">
        <f>$T$18-U3-$AA$17*(1-AT5)</f>
        <v>-59.67</v>
      </c>
      <c r="W51" s="1">
        <f t="shared" ref="W51:AA51" si="82">$T$18-V3-$AA$17*(1-AU5)</f>
        <v>-1.4300000000000139</v>
      </c>
      <c r="X51" s="1">
        <f t="shared" si="82"/>
        <v>-2.8900000000000183</v>
      </c>
      <c r="Y51" s="1">
        <f t="shared" si="82"/>
        <v>-7.3499999999999961</v>
      </c>
      <c r="Z51" s="1">
        <f t="shared" si="82"/>
        <v>-10.890000000000034</v>
      </c>
      <c r="AA51" s="1">
        <f t="shared" si="82"/>
        <v>-19.39000000000005</v>
      </c>
      <c r="AD51" s="1"/>
      <c r="AE51" s="1"/>
      <c r="AF51" s="1"/>
      <c r="AG51" s="1"/>
      <c r="AH51" s="1"/>
      <c r="AI51" s="1"/>
      <c r="AJ51" s="1"/>
      <c r="AL51" s="1"/>
      <c r="AM51" s="1"/>
      <c r="AN51" s="1"/>
      <c r="AO51" s="1"/>
      <c r="AP51" s="1"/>
      <c r="AQ51" s="1"/>
      <c r="AR51" s="1"/>
      <c r="AT51" s="1"/>
      <c r="AU51" s="1"/>
      <c r="AV51" s="1"/>
      <c r="AW51" s="1"/>
      <c r="AX51" s="1"/>
      <c r="AY51" s="1"/>
      <c r="BA51" s="1"/>
      <c r="BB51" s="1"/>
      <c r="BC51" s="1"/>
      <c r="BD51" s="1"/>
      <c r="BE51" s="1"/>
      <c r="BG51" s="1"/>
      <c r="BH51" s="1"/>
      <c r="BI51" s="1"/>
      <c r="BK51" s="1"/>
      <c r="BL51" s="1"/>
      <c r="BM51" s="1"/>
      <c r="BO51" s="1"/>
      <c r="BP51" s="1"/>
      <c r="BR51" s="1"/>
    </row>
    <row r="52" spans="1:70" x14ac:dyDescent="0.3">
      <c r="A52" t="s">
        <v>23</v>
      </c>
      <c r="R52" s="6" t="s">
        <v>6</v>
      </c>
      <c r="S52" s="1"/>
      <c r="T52" s="1"/>
      <c r="U52" s="1"/>
      <c r="V52" s="1"/>
      <c r="W52" s="1">
        <f>$U$18-V3-$AA$17*(1-BA5)</f>
        <v>-60.590000000000018</v>
      </c>
      <c r="X52" s="1">
        <f t="shared" ref="X52:AA52" si="83">$U$18-W3-$AA$17*(1-BB5)</f>
        <v>-0.45000000000000995</v>
      </c>
      <c r="Y52" s="1">
        <f t="shared" si="83"/>
        <v>-4.9099999999999877</v>
      </c>
      <c r="Z52" s="1">
        <f t="shared" si="83"/>
        <v>-8.4500000000000259</v>
      </c>
      <c r="AA52" s="1">
        <f t="shared" si="83"/>
        <v>-16.950000000000045</v>
      </c>
      <c r="AD52" s="1"/>
      <c r="AE52" s="1"/>
      <c r="AF52" s="1"/>
      <c r="AG52" s="1"/>
      <c r="AH52" s="1"/>
      <c r="AI52" s="1"/>
      <c r="AJ52" s="1"/>
      <c r="AL52" s="1"/>
      <c r="AM52" s="1"/>
      <c r="AN52" s="1"/>
      <c r="AO52" s="1"/>
      <c r="AP52" s="1"/>
      <c r="AQ52" s="1"/>
      <c r="AR52" s="1"/>
      <c r="AT52" s="1"/>
      <c r="AU52" s="1"/>
      <c r="AV52" s="1"/>
      <c r="AW52" s="1"/>
      <c r="AX52" s="1"/>
      <c r="AY52" s="1"/>
      <c r="BA52" s="1"/>
      <c r="BB52" s="1"/>
      <c r="BC52" s="1"/>
      <c r="BD52" s="1"/>
      <c r="BE52" s="1"/>
      <c r="BG52" s="1"/>
      <c r="BH52" s="1"/>
      <c r="BI52" s="1"/>
      <c r="BK52" s="1"/>
      <c r="BL52" s="1"/>
      <c r="BM52" s="1"/>
      <c r="BO52" s="1"/>
      <c r="BP52" s="1"/>
      <c r="BR52" s="1"/>
    </row>
    <row r="53" spans="1:70" x14ac:dyDescent="0.3">
      <c r="A53" t="s">
        <v>24</v>
      </c>
      <c r="R53" s="6" t="s">
        <v>8</v>
      </c>
      <c r="S53" s="1"/>
      <c r="T53" s="1"/>
      <c r="U53" s="1"/>
      <c r="V53" s="1"/>
      <c r="W53" s="1"/>
      <c r="X53" s="1"/>
      <c r="Y53" s="1">
        <f>$V$18-X3-$AA$17*(1-BG5)</f>
        <v>-2.0199999999999658</v>
      </c>
      <c r="Z53" s="1">
        <f t="shared" ref="Z53:AA53" si="84">$V$18-Y3-$AA$17*(1-BH5)</f>
        <v>-5.5600000000000041</v>
      </c>
      <c r="AA53" s="1">
        <f t="shared" si="84"/>
        <v>-14.060000000000022</v>
      </c>
      <c r="AD53" s="1"/>
      <c r="AE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R53" s="1"/>
      <c r="AT53" s="1"/>
      <c r="AU53" s="1"/>
      <c r="AV53" s="1"/>
      <c r="AW53" s="1"/>
      <c r="AX53" s="1"/>
      <c r="AY53" s="1"/>
      <c r="BA53" s="1"/>
      <c r="BB53" s="1"/>
      <c r="BC53" s="1"/>
      <c r="BD53" s="1"/>
      <c r="BE53" s="1"/>
      <c r="BG53" s="1"/>
      <c r="BH53" s="1"/>
      <c r="BI53" s="1"/>
      <c r="BK53" s="1"/>
      <c r="BL53" s="1"/>
      <c r="BM53" s="1"/>
      <c r="BO53" s="1"/>
      <c r="BP53" s="1"/>
      <c r="BR53" s="1"/>
    </row>
    <row r="54" spans="1:70" x14ac:dyDescent="0.3">
      <c r="R54" s="6" t="s">
        <v>9</v>
      </c>
      <c r="S54" s="1"/>
      <c r="T54" s="1"/>
      <c r="U54" s="1"/>
      <c r="V54" s="1"/>
      <c r="W54" s="1"/>
      <c r="X54" s="1"/>
      <c r="Y54" s="1">
        <f>$W$18-X3-$AA$17*(1-BK5)</f>
        <v>-58.059999999999974</v>
      </c>
      <c r="Z54" s="1">
        <f t="shared" ref="Z54:AA54" si="85">$W$18-Y3-$AA$17*(1-BL5)</f>
        <v>-3.5527136788005009E-15</v>
      </c>
      <c r="AA54" s="1">
        <f t="shared" si="85"/>
        <v>-8.5000000000000213</v>
      </c>
      <c r="AD54" s="1"/>
      <c r="AE54" s="1"/>
      <c r="AF54" s="1"/>
      <c r="AG54" s="1"/>
      <c r="AH54" s="1"/>
      <c r="AI54" s="1"/>
      <c r="AJ54" s="1"/>
      <c r="AL54" s="1"/>
      <c r="AM54" s="1"/>
      <c r="AN54" s="1"/>
      <c r="AO54" s="1"/>
      <c r="AP54" s="1"/>
      <c r="AQ54" s="1"/>
      <c r="AR54" s="1"/>
      <c r="AT54" s="1"/>
      <c r="AU54" s="1"/>
      <c r="AV54" s="1"/>
      <c r="AW54" s="1"/>
      <c r="AX54" s="1"/>
      <c r="AY54" s="1"/>
      <c r="BA54" s="1"/>
      <c r="BB54" s="1"/>
      <c r="BC54" s="1"/>
      <c r="BD54" s="1"/>
      <c r="BE54" s="1"/>
      <c r="BG54" s="1"/>
      <c r="BH54" s="1"/>
      <c r="BI54" s="1"/>
      <c r="BK54" s="1"/>
      <c r="BL54" s="1"/>
      <c r="BM54" s="1"/>
      <c r="BO54" s="1"/>
      <c r="BP54" s="1"/>
      <c r="BR54" s="1"/>
    </row>
    <row r="55" spans="1:70" x14ac:dyDescent="0.3">
      <c r="R55" s="6" t="s">
        <v>11</v>
      </c>
      <c r="S55" s="1"/>
      <c r="T55" s="1"/>
      <c r="U55" s="1"/>
      <c r="V55" s="1"/>
      <c r="W55" s="1"/>
      <c r="X55" s="1"/>
      <c r="Y55" s="1"/>
      <c r="Z55" s="1">
        <f>$X$18-Y3-$AA$17*(1-BO5)</f>
        <v>-56.76</v>
      </c>
      <c r="AA55" s="1">
        <f>$X$18-Z3-$AA$17*(1-BP5)</f>
        <v>-3.6600000000000072</v>
      </c>
      <c r="AD55" s="1"/>
      <c r="AE55" s="1"/>
      <c r="AF55" s="1"/>
      <c r="AG55" s="1"/>
      <c r="AH55" s="1"/>
      <c r="AI55" s="1"/>
      <c r="AJ55" s="1"/>
      <c r="AL55" s="1"/>
      <c r="AM55" s="1"/>
      <c r="AN55" s="1"/>
      <c r="AO55" s="1"/>
      <c r="AP55" s="1"/>
      <c r="AQ55" s="1"/>
      <c r="AR55" s="1"/>
      <c r="AT55" s="1"/>
      <c r="AU55" s="1"/>
      <c r="AV55" s="1"/>
      <c r="AW55" s="1"/>
      <c r="AX55" s="1"/>
      <c r="AY55" s="1"/>
      <c r="BA55" s="1"/>
      <c r="BB55" s="1"/>
      <c r="BC55" s="1"/>
      <c r="BD55" s="1"/>
      <c r="BE55" s="1"/>
      <c r="BG55" s="1"/>
      <c r="BH55" s="1"/>
      <c r="BI55" s="1"/>
      <c r="BK55" s="1"/>
      <c r="BL55" s="1"/>
      <c r="BM55" s="1"/>
      <c r="BO55" s="1"/>
      <c r="BP55" s="1"/>
      <c r="BR55" s="1"/>
    </row>
    <row r="56" spans="1:70" x14ac:dyDescent="0.3">
      <c r="A56" t="s">
        <v>25</v>
      </c>
      <c r="R56" s="6" t="s">
        <v>13</v>
      </c>
      <c r="S56" s="1"/>
      <c r="T56" s="1"/>
      <c r="U56" s="1"/>
      <c r="V56" s="1"/>
      <c r="W56" s="1"/>
      <c r="X56" s="1"/>
      <c r="Y56" s="1"/>
      <c r="Z56" s="1"/>
      <c r="AA56" s="1">
        <f>$Y$18-Z3-$AA$17*(1-BR5)</f>
        <v>-1.2200000000000557</v>
      </c>
      <c r="AD56" s="1"/>
      <c r="AE56" s="1"/>
      <c r="AF56" s="1"/>
      <c r="AG56" s="1"/>
      <c r="AH56" s="1"/>
      <c r="AI56" s="1"/>
      <c r="AJ56" s="1"/>
      <c r="AL56" s="1"/>
      <c r="AM56" s="1"/>
      <c r="AN56" s="1"/>
      <c r="AO56" s="1"/>
      <c r="AP56" s="1"/>
      <c r="AQ56" s="1"/>
      <c r="AR56" s="1"/>
      <c r="AT56" s="1"/>
      <c r="AU56" s="1"/>
      <c r="AV56" s="1"/>
      <c r="AW56" s="1"/>
      <c r="AX56" s="1"/>
      <c r="AY56" s="1"/>
      <c r="BA56" s="1"/>
      <c r="BB56" s="1"/>
      <c r="BC56" s="1"/>
      <c r="BD56" s="1"/>
      <c r="BE56" s="1"/>
      <c r="BG56" s="1"/>
      <c r="BH56" s="1"/>
      <c r="BI56" s="1"/>
      <c r="BK56" s="1"/>
      <c r="BL56" s="1"/>
      <c r="BM56" s="1"/>
      <c r="BO56" s="1"/>
      <c r="BP56" s="1"/>
      <c r="BR56" s="1"/>
    </row>
    <row r="57" spans="1:70" x14ac:dyDescent="0.3">
      <c r="B57" s="3" t="s">
        <v>1</v>
      </c>
      <c r="C57" s="3" t="s">
        <v>2</v>
      </c>
      <c r="D57" t="s">
        <v>3</v>
      </c>
      <c r="E57" s="3" t="s">
        <v>4</v>
      </c>
      <c r="F57" t="s">
        <v>5</v>
      </c>
      <c r="G57" s="3" t="s">
        <v>6</v>
      </c>
      <c r="H57" t="s">
        <v>7</v>
      </c>
      <c r="I57" s="3" t="s">
        <v>8</v>
      </c>
      <c r="J57" s="3" t="s">
        <v>9</v>
      </c>
      <c r="K57" t="s">
        <v>10</v>
      </c>
      <c r="L57" s="3" t="s">
        <v>11</v>
      </c>
      <c r="M57" t="s">
        <v>12</v>
      </c>
      <c r="N57" s="3" t="s">
        <v>13</v>
      </c>
      <c r="O57" t="s">
        <v>14</v>
      </c>
      <c r="P57" s="3" t="s">
        <v>15</v>
      </c>
      <c r="R57" s="6" t="s">
        <v>15</v>
      </c>
      <c r="S57" s="1"/>
      <c r="T57" s="1"/>
      <c r="U57" s="1"/>
      <c r="V57" s="1"/>
      <c r="W57" s="1"/>
      <c r="X57" s="1"/>
      <c r="Y57" s="1"/>
      <c r="Z57" s="1"/>
      <c r="AA57" s="1"/>
      <c r="AD57" s="1"/>
      <c r="AE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R57" s="1"/>
      <c r="AT57" s="1"/>
      <c r="AU57" s="1"/>
      <c r="AV57" s="1"/>
      <c r="AW57" s="1"/>
      <c r="AX57" s="1"/>
      <c r="AY57" s="1"/>
      <c r="BA57" s="1"/>
      <c r="BB57" s="1"/>
      <c r="BC57" s="1"/>
      <c r="BD57" s="1"/>
      <c r="BE57" s="1"/>
      <c r="BG57" s="1"/>
      <c r="BH57" s="1"/>
      <c r="BI57" s="1"/>
      <c r="BK57" s="1"/>
      <c r="BL57" s="1"/>
      <c r="BM57" s="1"/>
      <c r="BO57" s="1"/>
      <c r="BP57" s="1"/>
      <c r="BR57" s="1"/>
    </row>
    <row r="58" spans="1:70" x14ac:dyDescent="0.3">
      <c r="A58" s="1" t="s">
        <v>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1"/>
      <c r="AD58" s="1"/>
      <c r="AE58" s="1"/>
      <c r="AF58" s="1"/>
      <c r="AG58" s="1"/>
      <c r="AH58" s="1"/>
      <c r="AI58" s="1"/>
      <c r="AJ58" s="1"/>
      <c r="AL58" s="1"/>
      <c r="AM58" s="1"/>
      <c r="AN58" s="1"/>
      <c r="AO58" s="1"/>
      <c r="AP58" s="1"/>
      <c r="AQ58" s="1"/>
      <c r="AR58" s="1"/>
      <c r="AT58" s="1"/>
      <c r="AU58" s="1"/>
      <c r="AV58" s="1"/>
      <c r="AW58" s="1"/>
      <c r="AX58" s="1"/>
      <c r="AY58" s="1"/>
      <c r="BA58" s="1"/>
      <c r="BB58" s="1"/>
      <c r="BC58" s="1"/>
      <c r="BD58" s="1"/>
      <c r="BE58" s="1"/>
      <c r="BG58" s="1"/>
      <c r="BH58" s="1"/>
      <c r="BI58" s="1"/>
      <c r="BK58" s="1"/>
      <c r="BL58" s="1"/>
      <c r="BM58" s="1"/>
      <c r="BO58" s="1"/>
      <c r="BP58" s="1"/>
      <c r="BR58" s="1"/>
    </row>
    <row r="59" spans="1:70" x14ac:dyDescent="0.3">
      <c r="A59" s="1" t="s">
        <v>18</v>
      </c>
      <c r="B59" s="1">
        <f>B17-C30</f>
        <v>0</v>
      </c>
      <c r="C59" s="1">
        <f t="shared" ref="C59:P63" si="86">C17-C30</f>
        <v>1.4600000000000084</v>
      </c>
      <c r="D59" s="1">
        <f t="shared" si="86"/>
        <v>1.0099999999999971</v>
      </c>
      <c r="E59" s="1">
        <f t="shared" si="86"/>
        <v>2.8899999999999899</v>
      </c>
      <c r="F59" s="1">
        <f t="shared" si="86"/>
        <v>2.2399999999999958</v>
      </c>
      <c r="G59" s="1">
        <f t="shared" si="86"/>
        <v>2.7699999999999951</v>
      </c>
      <c r="H59" s="1">
        <f t="shared" si="86"/>
        <v>0.88999999999999346</v>
      </c>
      <c r="I59" s="1">
        <f>I17-J30</f>
        <v>0</v>
      </c>
      <c r="J59" s="1">
        <f t="shared" si="86"/>
        <v>1.4600000000000133</v>
      </c>
      <c r="K59" s="1">
        <f t="shared" si="86"/>
        <v>2.3200000000000074</v>
      </c>
      <c r="L59" s="1">
        <f t="shared" si="86"/>
        <v>4.4599999999999831</v>
      </c>
      <c r="M59" s="1">
        <f t="shared" si="86"/>
        <v>3.81000000000002</v>
      </c>
      <c r="N59" s="1">
        <f t="shared" si="86"/>
        <v>5.5600000000000094</v>
      </c>
      <c r="O59" s="1">
        <f t="shared" si="86"/>
        <v>3.6800000000000104</v>
      </c>
      <c r="P59" s="11">
        <f t="shared" si="86"/>
        <v>3.7800000000000082</v>
      </c>
      <c r="AD59" s="1"/>
      <c r="AE59" s="1"/>
      <c r="AF59" s="1"/>
      <c r="AG59" s="1"/>
      <c r="AH59" s="1"/>
      <c r="AI59" s="1"/>
      <c r="AJ59" s="1"/>
      <c r="AL59" s="1"/>
      <c r="AM59" s="1"/>
      <c r="AN59" s="1"/>
      <c r="AO59" s="1"/>
      <c r="AP59" s="1"/>
      <c r="AQ59" s="1"/>
      <c r="AR59" s="1"/>
      <c r="AT59" s="1"/>
      <c r="AU59" s="1"/>
      <c r="AV59" s="1"/>
      <c r="AW59" s="1"/>
      <c r="AX59" s="1"/>
      <c r="AY59" s="1"/>
      <c r="BA59" s="1"/>
      <c r="BB59" s="1"/>
      <c r="BC59" s="1"/>
      <c r="BD59" s="1"/>
      <c r="BE59" s="1"/>
      <c r="BG59" s="1"/>
      <c r="BH59" s="1"/>
      <c r="BI59" s="1"/>
      <c r="BK59" s="1"/>
      <c r="BL59" s="1"/>
      <c r="BM59" s="1"/>
      <c r="BO59" s="1"/>
      <c r="BP59" s="1"/>
      <c r="BR59" s="1"/>
    </row>
    <row r="60" spans="1:70" x14ac:dyDescent="0.3">
      <c r="A60" s="1" t="s">
        <v>28</v>
      </c>
      <c r="B60" s="1">
        <f t="shared" ref="B60:B62" si="87">B18-C31</f>
        <v>0.12000000000000188</v>
      </c>
      <c r="C60" s="1">
        <f t="shared" si="86"/>
        <v>3.01</v>
      </c>
      <c r="D60" s="1">
        <f t="shared" si="86"/>
        <v>2.0200000000000067</v>
      </c>
      <c r="E60" s="1">
        <f t="shared" si="86"/>
        <v>2.5800000000000107</v>
      </c>
      <c r="F60" s="1">
        <f t="shared" si="86"/>
        <v>1.9299999999999997</v>
      </c>
      <c r="G60" s="1">
        <f t="shared" si="86"/>
        <v>4.1300000000000194</v>
      </c>
      <c r="H60" s="1">
        <f t="shared" si="86"/>
        <v>2.2500000000000195</v>
      </c>
      <c r="I60" s="1">
        <f t="shared" ref="I60:I62" si="88">I18-J31</f>
        <v>0.24000000000001087</v>
      </c>
      <c r="J60" s="1">
        <f t="shared" si="86"/>
        <v>3.6000000000000121</v>
      </c>
      <c r="K60" s="1">
        <f t="shared" si="86"/>
        <v>4.4600000000000097</v>
      </c>
      <c r="L60" s="1">
        <f t="shared" si="86"/>
        <v>8.1400000000000468</v>
      </c>
      <c r="M60" s="1">
        <f t="shared" si="86"/>
        <v>7.4900000000000126</v>
      </c>
      <c r="N60" s="1">
        <f t="shared" si="86"/>
        <v>7.0399999999999601</v>
      </c>
      <c r="O60" s="1">
        <f t="shared" si="86"/>
        <v>5.1600000000000179</v>
      </c>
      <c r="P60" s="11">
        <f t="shared" si="86"/>
        <v>3.6599999999999469</v>
      </c>
      <c r="R60" t="s">
        <v>48</v>
      </c>
      <c r="AD60" s="1"/>
      <c r="AE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R60" s="1"/>
      <c r="AT60" s="1"/>
      <c r="AU60" s="1"/>
      <c r="AV60" s="1"/>
      <c r="AW60" s="1"/>
      <c r="AX60" s="1"/>
      <c r="AY60" s="1"/>
      <c r="BA60" s="1"/>
      <c r="BB60" s="1"/>
      <c r="BC60" s="1"/>
      <c r="BD60" s="1"/>
      <c r="BE60" s="1"/>
      <c r="BG60" s="1"/>
      <c r="BH60" s="1"/>
      <c r="BI60" s="1"/>
      <c r="BK60" s="1"/>
      <c r="BL60" s="1"/>
      <c r="BM60" s="1"/>
      <c r="BO60" s="1"/>
      <c r="BP60" s="1"/>
      <c r="BR60" s="1"/>
    </row>
    <row r="61" spans="1:70" x14ac:dyDescent="0.3">
      <c r="A61" s="1" t="s">
        <v>53</v>
      </c>
      <c r="B61" s="1">
        <f t="shared" si="87"/>
        <v>0</v>
      </c>
      <c r="C61" s="1">
        <f t="shared" si="86"/>
        <v>2.8900000000000201</v>
      </c>
      <c r="D61" s="1">
        <f t="shared" si="86"/>
        <v>2.4400000000000084</v>
      </c>
      <c r="E61" s="1">
        <f t="shared" si="86"/>
        <v>5.0900000000000212</v>
      </c>
      <c r="F61" s="1">
        <f t="shared" si="86"/>
        <v>4.4400000000000244</v>
      </c>
      <c r="G61" s="1">
        <f t="shared" si="86"/>
        <v>4.7900000000000187</v>
      </c>
      <c r="H61" s="1">
        <f t="shared" si="86"/>
        <v>2.9099999999999877</v>
      </c>
      <c r="I61" s="1">
        <f t="shared" si="88"/>
        <v>0.1200000000000081</v>
      </c>
      <c r="J61" s="1">
        <f t="shared" si="86"/>
        <v>4.8400000000000176</v>
      </c>
      <c r="K61" s="1">
        <f t="shared" si="86"/>
        <v>5.7000000000000171</v>
      </c>
      <c r="L61" s="1">
        <f t="shared" si="86"/>
        <v>3.5400000000000027</v>
      </c>
      <c r="M61" s="1">
        <f t="shared" si="86"/>
        <v>2.8900000000000041</v>
      </c>
      <c r="N61" s="1">
        <f t="shared" si="86"/>
        <v>4.6900000000000759</v>
      </c>
      <c r="O61" s="1">
        <f t="shared" si="86"/>
        <v>2.8100000000000165</v>
      </c>
      <c r="P61" s="11">
        <f>P19-P32</f>
        <v>0.12000000000008981</v>
      </c>
      <c r="R61" s="1"/>
      <c r="S61" s="6" t="s">
        <v>1</v>
      </c>
      <c r="T61" s="6" t="s">
        <v>2</v>
      </c>
      <c r="U61" s="6" t="s">
        <v>4</v>
      </c>
      <c r="V61" s="6" t="s">
        <v>6</v>
      </c>
      <c r="W61" s="6" t="s">
        <v>8</v>
      </c>
      <c r="X61" s="6" t="s">
        <v>9</v>
      </c>
      <c r="Y61" s="6" t="s">
        <v>11</v>
      </c>
      <c r="Z61" s="6" t="s">
        <v>13</v>
      </c>
      <c r="AA61" s="6" t="s">
        <v>15</v>
      </c>
      <c r="AD61" s="1"/>
      <c r="AE61" s="1"/>
      <c r="AF61" s="1"/>
      <c r="AG61" s="1"/>
      <c r="AH61" s="1"/>
      <c r="AI61" s="1"/>
      <c r="AJ61" s="1"/>
      <c r="AL61" s="1"/>
      <c r="AM61" s="1"/>
      <c r="AN61" s="1"/>
      <c r="AO61" s="1"/>
      <c r="AP61" s="1"/>
      <c r="AQ61" s="1"/>
      <c r="AR61" s="1"/>
      <c r="AT61" s="1"/>
      <c r="AU61" s="1"/>
      <c r="AV61" s="1"/>
      <c r="AW61" s="1"/>
      <c r="AX61" s="1"/>
      <c r="AY61" s="1"/>
      <c r="BA61" s="1"/>
      <c r="BB61" s="1"/>
      <c r="BC61" s="1"/>
      <c r="BD61" s="1"/>
      <c r="BE61" s="1"/>
      <c r="BG61" s="1"/>
      <c r="BH61" s="1"/>
      <c r="BI61" s="1"/>
      <c r="BK61" s="1"/>
      <c r="BL61" s="1"/>
      <c r="BM61" s="1"/>
      <c r="BO61" s="1"/>
      <c r="BP61" s="1"/>
      <c r="BR61" s="1"/>
    </row>
    <row r="62" spans="1:70" x14ac:dyDescent="0.3">
      <c r="A62" s="1" t="s">
        <v>63</v>
      </c>
      <c r="B62" s="1">
        <f t="shared" si="87"/>
        <v>0.12000000000000455</v>
      </c>
      <c r="C62" s="1">
        <f t="shared" si="86"/>
        <v>3.0100000000000229</v>
      </c>
      <c r="D62" s="1">
        <f t="shared" si="86"/>
        <v>3.570000000000018</v>
      </c>
      <c r="E62" s="1">
        <f t="shared" si="86"/>
        <v>3.3600000000000065</v>
      </c>
      <c r="F62" s="1">
        <f t="shared" si="86"/>
        <v>2.710000000000008</v>
      </c>
      <c r="G62" s="1">
        <f t="shared" si="86"/>
        <v>5.8900000000000112</v>
      </c>
      <c r="H62" s="1">
        <f t="shared" si="86"/>
        <v>4.0100000000000442</v>
      </c>
      <c r="I62" s="1">
        <f t="shared" si="88"/>
        <v>0.24000000000000909</v>
      </c>
      <c r="J62" s="1">
        <f t="shared" si="86"/>
        <v>3.7100000000000044</v>
      </c>
      <c r="K62" s="1">
        <f t="shared" si="86"/>
        <v>3.5900000000000247</v>
      </c>
      <c r="L62" s="1">
        <f t="shared" si="86"/>
        <v>4.809999999999949</v>
      </c>
      <c r="M62" s="1">
        <f t="shared" si="86"/>
        <v>4.160000000000025</v>
      </c>
      <c r="N62" s="1">
        <f t="shared" si="86"/>
        <v>4.5699999999999292</v>
      </c>
      <c r="O62" s="1">
        <f t="shared" si="86"/>
        <v>2.6900000000000119</v>
      </c>
      <c r="P62" s="11">
        <f>P20-P33</f>
        <v>1.0100000000000051</v>
      </c>
      <c r="R62" s="6" t="s">
        <v>1</v>
      </c>
      <c r="S62" s="1"/>
      <c r="T62" s="1"/>
      <c r="U62" s="1">
        <f>T16-$R$3-$AA$17*(1-AD6)</f>
        <v>-60.140000000000008</v>
      </c>
      <c r="V62" s="1">
        <f>U16-$R$3-$AA$17*(1-AE6)</f>
        <v>-59.13000000000001</v>
      </c>
      <c r="W62" s="1">
        <f t="shared" ref="W62:AA62" si="89">V16-$R$3-$AA$17*(1-AF6)</f>
        <v>-56.360000000000014</v>
      </c>
      <c r="X62" s="1">
        <f t="shared" si="89"/>
        <v>-53</v>
      </c>
      <c r="Y62" s="1">
        <f t="shared" si="89"/>
        <v>-51.539999999999992</v>
      </c>
      <c r="Z62" s="1">
        <f t="shared" si="89"/>
        <v>-49.09999999999998</v>
      </c>
      <c r="AA62" s="1">
        <f t="shared" si="89"/>
        <v>-38.819999999999965</v>
      </c>
      <c r="AD62" s="6"/>
      <c r="AE62" s="6"/>
      <c r="AF62" s="6"/>
      <c r="AG62" s="6"/>
      <c r="AH62" s="6"/>
      <c r="AI62" s="6"/>
      <c r="AJ62" s="6"/>
      <c r="AK62" s="3"/>
      <c r="AL62" s="6"/>
      <c r="AM62" s="6"/>
      <c r="AN62" s="6"/>
      <c r="AO62" s="6"/>
      <c r="AP62" s="6"/>
      <c r="AQ62" s="6"/>
      <c r="AR62" s="6"/>
      <c r="AS62" s="3"/>
      <c r="AT62" s="6"/>
      <c r="AU62" s="6"/>
      <c r="AV62" s="6"/>
      <c r="AW62" s="6"/>
      <c r="AX62" s="6"/>
      <c r="AY62" s="6"/>
      <c r="AZ62" s="3"/>
      <c r="BA62" s="6"/>
      <c r="BB62" s="6"/>
      <c r="BC62" s="6"/>
      <c r="BD62" s="6"/>
      <c r="BE62" s="6"/>
      <c r="BF62" s="3"/>
      <c r="BG62" s="6"/>
      <c r="BH62" s="6"/>
      <c r="BI62" s="6"/>
      <c r="BJ62" s="3"/>
      <c r="BK62" s="6"/>
      <c r="BL62" s="6"/>
      <c r="BM62" s="6"/>
      <c r="BN62" s="3"/>
      <c r="BO62" s="6"/>
      <c r="BP62" s="6"/>
      <c r="BQ62" s="3"/>
      <c r="BR62" s="6"/>
    </row>
    <row r="63" spans="1:70" x14ac:dyDescent="0.3">
      <c r="A63" s="1" t="s">
        <v>81</v>
      </c>
      <c r="B63" s="1">
        <f t="shared" ref="B63" si="90">B21-C34</f>
        <v>1.4600000000000009</v>
      </c>
      <c r="C63" s="1">
        <f t="shared" si="86"/>
        <v>3.7800000000000118</v>
      </c>
      <c r="D63" s="1">
        <f t="shared" si="86"/>
        <v>4.6700000000000159</v>
      </c>
      <c r="E63" s="1">
        <f t="shared" si="86"/>
        <v>9.2400000000000198</v>
      </c>
      <c r="F63" s="1">
        <f t="shared" si="86"/>
        <v>8.5899999999999679</v>
      </c>
      <c r="G63" s="1">
        <f t="shared" si="86"/>
        <v>5.7899999999999565</v>
      </c>
      <c r="H63" s="1">
        <f t="shared" si="86"/>
        <v>3.9100000000000037</v>
      </c>
      <c r="I63" s="1">
        <f t="shared" ref="I63" si="91">I21-J34</f>
        <v>0.12000000000000455</v>
      </c>
      <c r="J63" s="1">
        <f t="shared" si="86"/>
        <v>1.460000000000008</v>
      </c>
      <c r="K63" s="1">
        <f t="shared" si="86"/>
        <v>1.0999999999999233</v>
      </c>
      <c r="L63" s="1">
        <f t="shared" si="86"/>
        <v>5.6000000000000938</v>
      </c>
      <c r="M63" s="1">
        <f t="shared" si="86"/>
        <v>4.9500000000000099</v>
      </c>
      <c r="N63" s="1">
        <f t="shared" si="86"/>
        <v>3.1400000000000929</v>
      </c>
      <c r="O63" s="1">
        <f t="shared" si="86"/>
        <v>1.2600000000000051</v>
      </c>
      <c r="P63" s="11">
        <f>P21-P34</f>
        <v>0</v>
      </c>
      <c r="R63" s="6" t="s">
        <v>2</v>
      </c>
      <c r="S63" s="1"/>
      <c r="T63" s="1"/>
      <c r="U63" s="1">
        <f>T16-$S$3-$AA$17*(1-AL6)</f>
        <v>-4.4408920985006262E-15</v>
      </c>
      <c r="V63" s="1">
        <f t="shared" ref="V63:AA63" si="92">U16-$S$3-$AA$17*(1-AM6)</f>
        <v>-60.590000000000018</v>
      </c>
      <c r="W63" s="1">
        <f t="shared" si="92"/>
        <v>-57.820000000000022</v>
      </c>
      <c r="X63" s="1">
        <f t="shared" si="92"/>
        <v>-54.460000000000008</v>
      </c>
      <c r="Y63" s="1">
        <f t="shared" si="92"/>
        <v>-53</v>
      </c>
      <c r="Z63" s="1">
        <f t="shared" si="92"/>
        <v>-50.559999999999988</v>
      </c>
      <c r="AA63" s="1">
        <f t="shared" si="92"/>
        <v>-40.279999999999973</v>
      </c>
      <c r="AD63" s="1"/>
      <c r="AE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R63" s="1"/>
      <c r="AT63" s="1"/>
      <c r="AU63" s="1"/>
      <c r="AV63" s="1"/>
      <c r="AW63" s="1"/>
      <c r="AX63" s="1"/>
      <c r="AY63" s="1"/>
      <c r="BA63" s="1"/>
      <c r="BB63" s="1"/>
      <c r="BC63" s="1"/>
      <c r="BD63" s="1"/>
      <c r="BE63" s="1"/>
      <c r="BG63" s="1"/>
      <c r="BH63" s="1"/>
      <c r="BI63" s="1"/>
      <c r="BK63" s="1"/>
      <c r="BL63" s="1"/>
      <c r="BM63" s="1"/>
      <c r="BO63" s="1"/>
      <c r="BP63" s="1"/>
      <c r="BR63" s="1"/>
    </row>
    <row r="64" spans="1:70" x14ac:dyDescent="0.3">
      <c r="A64" t="s">
        <v>19</v>
      </c>
      <c r="R64" s="6" t="s">
        <v>4</v>
      </c>
      <c r="S64" s="1"/>
      <c r="T64" s="1"/>
      <c r="U64" s="1"/>
      <c r="V64" s="1">
        <f>U16-$T$3-$AA$17*(1-AT6)</f>
        <v>-1.8799999999999955</v>
      </c>
      <c r="W64" s="1">
        <f t="shared" ref="W64:AA64" si="93">V16-$T$3-$AA$17*(1-AU6)</f>
        <v>-60.710000000000008</v>
      </c>
      <c r="X64" s="1">
        <f t="shared" si="93"/>
        <v>-57.349999999999994</v>
      </c>
      <c r="Y64" s="1">
        <f t="shared" si="93"/>
        <v>-55.889999999999986</v>
      </c>
      <c r="Z64" s="1">
        <f t="shared" si="93"/>
        <v>-53.449999999999974</v>
      </c>
      <c r="AA64" s="1">
        <f t="shared" si="93"/>
        <v>-43.169999999999959</v>
      </c>
      <c r="AD64" s="1"/>
      <c r="AE64" s="1"/>
      <c r="AF64" s="1"/>
      <c r="AG64" s="1"/>
      <c r="AH64" s="1"/>
      <c r="AI64" s="1"/>
      <c r="AJ64" s="1"/>
      <c r="AL64" s="1"/>
      <c r="AM64" s="1"/>
      <c r="AN64" s="1"/>
      <c r="AO64" s="1"/>
      <c r="AP64" s="1"/>
      <c r="AQ64" s="1"/>
      <c r="AR64" s="1"/>
      <c r="AT64" s="1"/>
      <c r="AU64" s="1"/>
      <c r="AV64" s="1"/>
      <c r="AW64" s="1"/>
      <c r="AX64" s="1"/>
      <c r="AY64" s="1"/>
      <c r="BA64" s="1"/>
      <c r="BB64" s="1"/>
      <c r="BC64" s="1"/>
      <c r="BD64" s="1"/>
      <c r="BE64" s="1"/>
      <c r="BG64" s="1"/>
      <c r="BH64" s="1"/>
      <c r="BI64" s="1"/>
      <c r="BK64" s="1"/>
      <c r="BL64" s="1"/>
      <c r="BM64" s="1"/>
      <c r="BO64" s="1"/>
      <c r="BP64" s="1"/>
      <c r="BR64" s="1"/>
    </row>
    <row r="65" spans="1:70" x14ac:dyDescent="0.3">
      <c r="A65" t="s">
        <v>20</v>
      </c>
      <c r="R65" s="6" t="s">
        <v>6</v>
      </c>
      <c r="S65" s="1"/>
      <c r="T65" s="1"/>
      <c r="U65" s="1"/>
      <c r="V65" s="1"/>
      <c r="W65" s="1">
        <f>V16-$U$3-$AA$17*(1-BA6)</f>
        <v>-1.7763568394002505E-15</v>
      </c>
      <c r="X65" s="1">
        <f t="shared" ref="X65:AA65" si="94">W16-$U$3-$AA$17*(1-BB6)</f>
        <v>-58.239999999999995</v>
      </c>
      <c r="Y65" s="1">
        <f t="shared" si="94"/>
        <v>-56.779999999999987</v>
      </c>
      <c r="Z65" s="1">
        <f t="shared" si="94"/>
        <v>-54.339999999999975</v>
      </c>
      <c r="AA65" s="1">
        <f t="shared" si="94"/>
        <v>-44.059999999999953</v>
      </c>
      <c r="AD65" s="1"/>
      <c r="AE65" s="1"/>
      <c r="AF65" s="1"/>
      <c r="AG65" s="1"/>
      <c r="AH65" s="1"/>
      <c r="AI65" s="1"/>
      <c r="AJ65" s="1"/>
      <c r="AL65" s="1"/>
      <c r="AM65" s="1"/>
      <c r="AN65" s="1"/>
      <c r="AO65" s="1"/>
      <c r="AP65" s="1"/>
      <c r="AQ65" s="1"/>
      <c r="AR65" s="1"/>
      <c r="AT65" s="1"/>
      <c r="AU65" s="1"/>
      <c r="AV65" s="1"/>
      <c r="AW65" s="1"/>
      <c r="AX65" s="1"/>
      <c r="AY65" s="1"/>
      <c r="BA65" s="1"/>
      <c r="BB65" s="1"/>
      <c r="BC65" s="1"/>
      <c r="BD65" s="1"/>
      <c r="BE65" s="1"/>
      <c r="BG65" s="1"/>
      <c r="BH65" s="1"/>
      <c r="BI65" s="1"/>
      <c r="BK65" s="1"/>
      <c r="BL65" s="1"/>
      <c r="BM65" s="1"/>
      <c r="BO65" s="1"/>
      <c r="BP65" s="1"/>
      <c r="BR65" s="1"/>
    </row>
    <row r="66" spans="1:70" x14ac:dyDescent="0.3">
      <c r="A66" t="s">
        <v>23</v>
      </c>
      <c r="R66" s="6" t="s">
        <v>8</v>
      </c>
      <c r="S66" s="1"/>
      <c r="T66" s="1"/>
      <c r="U66" s="1"/>
      <c r="V66" s="1"/>
      <c r="W66" s="1"/>
      <c r="X66" s="1"/>
      <c r="Y66" s="1">
        <f>X16-$V$3-$AA$17*(1-BG6)</f>
        <v>-60.140000000000008</v>
      </c>
      <c r="Z66" s="1">
        <f t="shared" ref="Z66" si="95">Y16-$V$3-$AA$17*(1-BH6)</f>
        <v>-57.699999999999996</v>
      </c>
      <c r="AA66" s="1">
        <f>Z16-$V$3-$AA$17*(1-BI6)</f>
        <v>-47.41999999999998</v>
      </c>
      <c r="AD66" s="1"/>
      <c r="AE66" s="1"/>
      <c r="AF66" s="1"/>
      <c r="AG66" s="1"/>
      <c r="AH66" s="1"/>
      <c r="AI66" s="1"/>
      <c r="AJ66" s="1"/>
      <c r="AL66" s="1"/>
      <c r="AM66" s="1"/>
      <c r="AN66" s="1"/>
      <c r="AO66" s="1"/>
      <c r="AP66" s="1"/>
      <c r="AQ66" s="1"/>
      <c r="AR66" s="1"/>
      <c r="AT66" s="1"/>
      <c r="AU66" s="1"/>
      <c r="AV66" s="1"/>
      <c r="AW66" s="1"/>
      <c r="AX66" s="1"/>
      <c r="AY66" s="1"/>
      <c r="BA66" s="1"/>
      <c r="BB66" s="1"/>
      <c r="BC66" s="1"/>
      <c r="BD66" s="1"/>
      <c r="BE66" s="1"/>
      <c r="BG66" s="1"/>
      <c r="BH66" s="1"/>
      <c r="BI66" s="1"/>
      <c r="BK66" s="1"/>
      <c r="BL66" s="1"/>
      <c r="BM66" s="1"/>
      <c r="BO66" s="1"/>
      <c r="BP66" s="1"/>
      <c r="BR66" s="1"/>
    </row>
    <row r="67" spans="1:70" x14ac:dyDescent="0.3">
      <c r="A67" t="s">
        <v>24</v>
      </c>
      <c r="R67" s="6" t="s">
        <v>9</v>
      </c>
      <c r="S67" s="1"/>
      <c r="T67" s="1"/>
      <c r="U67" s="1"/>
      <c r="V67" s="1"/>
      <c r="W67" s="1"/>
      <c r="X67" s="1"/>
      <c r="Y67" s="1">
        <f>X16-$W$3-$AA$17*(1-BK6)</f>
        <v>-5.3290705182007514E-15</v>
      </c>
      <c r="Z67" s="1">
        <f t="shared" ref="Z67:AA67" si="96">Y16-$W$3-$AA$17*(1-BL6)</f>
        <v>-59.160000000000004</v>
      </c>
      <c r="AA67" s="1">
        <f t="shared" si="96"/>
        <v>-48.879999999999981</v>
      </c>
      <c r="AD67" s="1"/>
      <c r="AE67" s="1"/>
      <c r="AF67" s="1"/>
      <c r="AG67" s="1"/>
      <c r="AH67" s="1"/>
      <c r="AI67" s="1"/>
      <c r="AJ67" s="1"/>
      <c r="AL67" s="1"/>
      <c r="AM67" s="1"/>
      <c r="AN67" s="1"/>
      <c r="AO67" s="1"/>
      <c r="AP67" s="1"/>
      <c r="AQ67" s="1"/>
      <c r="AR67" s="1"/>
      <c r="AT67" s="1"/>
      <c r="AU67" s="1"/>
      <c r="AV67" s="1"/>
      <c r="AW67" s="1"/>
      <c r="AX67" s="1"/>
      <c r="AY67" s="1"/>
      <c r="BA67" s="1"/>
      <c r="BB67" s="1"/>
      <c r="BC67" s="1"/>
      <c r="BD67" s="1"/>
      <c r="BE67" s="1"/>
      <c r="BG67" s="1"/>
      <c r="BH67" s="1"/>
      <c r="BI67" s="1"/>
      <c r="BK67" s="1"/>
      <c r="BL67" s="1"/>
      <c r="BM67" s="1"/>
      <c r="BO67" s="1"/>
      <c r="BP67" s="1"/>
      <c r="BR67" s="1"/>
    </row>
    <row r="68" spans="1:70" x14ac:dyDescent="0.3">
      <c r="R68" s="6" t="s">
        <v>11</v>
      </c>
      <c r="S68" s="1"/>
      <c r="T68" s="1"/>
      <c r="U68" s="1"/>
      <c r="V68" s="1"/>
      <c r="W68" s="1"/>
      <c r="X68" s="1"/>
      <c r="Y68" s="1"/>
      <c r="Z68" s="1">
        <f>Y16-$X$3-$AA$17*(1-BO6)</f>
        <v>-2.0199999999999712</v>
      </c>
      <c r="AA68" s="1">
        <f>Z16-$X$3-$AA$17*(1-BP6)</f>
        <v>-53.339999999999961</v>
      </c>
      <c r="AD68" s="1"/>
      <c r="AE68" s="1"/>
      <c r="AF68" s="1"/>
      <c r="AG68" s="1"/>
      <c r="AH68" s="1"/>
      <c r="AI68" s="1"/>
      <c r="AJ68" s="1"/>
      <c r="AL68" s="1"/>
      <c r="AM68" s="1"/>
      <c r="AN68" s="1"/>
      <c r="AO68" s="1"/>
      <c r="AP68" s="1"/>
      <c r="AQ68" s="1"/>
      <c r="AR68" s="1"/>
      <c r="AT68" s="1"/>
      <c r="AU68" s="1"/>
      <c r="AV68" s="1"/>
      <c r="AW68" s="1"/>
      <c r="AX68" s="1"/>
      <c r="AY68" s="1"/>
      <c r="BA68" s="1"/>
      <c r="BB68" s="1"/>
      <c r="BC68" s="1"/>
      <c r="BD68" s="1"/>
      <c r="BE68" s="1"/>
      <c r="BG68" s="1"/>
      <c r="BH68" s="1"/>
      <c r="BI68" s="1"/>
      <c r="BK68" s="1"/>
      <c r="BL68" s="1"/>
      <c r="BM68" s="1"/>
      <c r="BO68" s="1"/>
      <c r="BP68" s="1"/>
      <c r="BR68" s="1"/>
    </row>
    <row r="69" spans="1:70" x14ac:dyDescent="0.3">
      <c r="R69" s="6" t="s">
        <v>13</v>
      </c>
      <c r="S69" s="1"/>
      <c r="T69" s="1"/>
      <c r="U69" s="1"/>
      <c r="V69" s="1"/>
      <c r="W69" s="1"/>
      <c r="X69" s="1"/>
      <c r="Y69" s="1"/>
      <c r="Z69" s="1"/>
      <c r="AA69" s="1">
        <f>Z16-$Y$3-$AA$17*(1-BR6)</f>
        <v>-56.879999999999995</v>
      </c>
      <c r="AD69" s="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R69" s="1"/>
      <c r="AT69" s="1"/>
      <c r="AU69" s="1"/>
      <c r="AV69" s="1"/>
      <c r="AW69" s="1"/>
      <c r="AX69" s="1"/>
      <c r="AY69" s="1"/>
      <c r="BA69" s="1"/>
      <c r="BB69" s="1"/>
      <c r="BC69" s="1"/>
      <c r="BD69" s="1"/>
      <c r="BE69" s="1"/>
      <c r="BG69" s="1"/>
      <c r="BH69" s="1"/>
      <c r="BI69" s="1"/>
      <c r="BK69" s="1"/>
      <c r="BL69" s="1"/>
      <c r="BM69" s="1"/>
      <c r="BO69" s="1"/>
      <c r="BP69" s="1"/>
      <c r="BR69" s="1"/>
    </row>
    <row r="70" spans="1:70" x14ac:dyDescent="0.3">
      <c r="R70" s="6" t="s">
        <v>15</v>
      </c>
      <c r="S70" s="1"/>
      <c r="T70" s="1"/>
      <c r="U70" s="1"/>
      <c r="V70" s="1"/>
      <c r="W70" s="1"/>
      <c r="X70" s="1"/>
      <c r="Y70" s="1"/>
      <c r="Z70" s="1"/>
      <c r="AA70" s="1"/>
      <c r="AD70" s="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R70" s="1"/>
      <c r="AT70" s="1"/>
      <c r="AU70" s="1"/>
      <c r="AV70" s="1"/>
      <c r="AW70" s="1"/>
      <c r="AX70" s="1"/>
      <c r="AY70" s="1"/>
      <c r="BA70" s="1"/>
      <c r="BB70" s="1"/>
      <c r="BC70" s="1"/>
      <c r="BD70" s="1"/>
      <c r="BE70" s="1"/>
      <c r="BG70" s="1"/>
      <c r="BH70" s="1"/>
      <c r="BI70" s="1"/>
      <c r="BK70" s="1"/>
      <c r="BL70" s="1"/>
      <c r="BM70" s="1"/>
      <c r="BO70" s="1"/>
      <c r="BP70" s="1"/>
      <c r="BR70" s="1"/>
    </row>
    <row r="71" spans="1:70" x14ac:dyDescent="0.3">
      <c r="AD71" s="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R71" s="1"/>
      <c r="AT71" s="1"/>
      <c r="AU71" s="1"/>
      <c r="AV71" s="1"/>
      <c r="AW71" s="1"/>
      <c r="AX71" s="1"/>
      <c r="AY71" s="1"/>
      <c r="BA71" s="1"/>
      <c r="BB71" s="1"/>
      <c r="BC71" s="1"/>
      <c r="BD71" s="1"/>
      <c r="BE71" s="1"/>
      <c r="BG71" s="1"/>
      <c r="BH71" s="1"/>
      <c r="BI71" s="1"/>
      <c r="BK71" s="1"/>
      <c r="BL71" s="1"/>
      <c r="BM71" s="1"/>
      <c r="BO71" s="1"/>
      <c r="BP71" s="1"/>
      <c r="BR71" s="1"/>
    </row>
    <row r="72" spans="1:70" x14ac:dyDescent="0.3">
      <c r="AD72" s="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R72" s="1"/>
      <c r="AT72" s="1"/>
      <c r="AU72" s="1"/>
      <c r="AV72" s="1"/>
      <c r="AW72" s="1"/>
      <c r="AX72" s="1"/>
      <c r="AY72" s="1"/>
      <c r="BA72" s="1"/>
      <c r="BB72" s="1"/>
      <c r="BC72" s="1"/>
      <c r="BD72" s="1"/>
      <c r="BE72" s="1"/>
      <c r="BG72" s="1"/>
      <c r="BH72" s="1"/>
      <c r="BI72" s="1"/>
      <c r="BK72" s="1"/>
      <c r="BL72" s="1"/>
      <c r="BM72" s="1"/>
      <c r="BO72" s="1"/>
      <c r="BP72" s="1"/>
      <c r="BR72" s="1"/>
    </row>
    <row r="73" spans="1:70" x14ac:dyDescent="0.3">
      <c r="A73" t="s">
        <v>73</v>
      </c>
      <c r="R73" t="s">
        <v>35</v>
      </c>
      <c r="AD73" s="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R73" s="1"/>
      <c r="AT73" s="1"/>
      <c r="AU73" s="1"/>
      <c r="AV73" s="1"/>
      <c r="AW73" s="1"/>
      <c r="AX73" s="1"/>
      <c r="AY73" s="1"/>
      <c r="BA73" s="1"/>
      <c r="BB73" s="1"/>
      <c r="BC73" s="1"/>
      <c r="BD73" s="1"/>
      <c r="BE73" s="1"/>
      <c r="BG73" s="1"/>
      <c r="BH73" s="1"/>
      <c r="BI73" s="1"/>
      <c r="BK73" s="1"/>
      <c r="BL73" s="1"/>
      <c r="BM73" s="1"/>
      <c r="BO73" s="1"/>
      <c r="BP73" s="1"/>
      <c r="BR73" s="1"/>
    </row>
    <row r="74" spans="1:70" x14ac:dyDescent="0.3">
      <c r="A74" s="1"/>
      <c r="B74" s="6" t="s">
        <v>1</v>
      </c>
      <c r="C74" s="6" t="s">
        <v>2</v>
      </c>
      <c r="D74" s="6" t="s">
        <v>4</v>
      </c>
      <c r="E74" s="6" t="s">
        <v>6</v>
      </c>
      <c r="F74" s="6" t="s">
        <v>8</v>
      </c>
      <c r="G74" s="6" t="s">
        <v>9</v>
      </c>
      <c r="H74" s="6" t="s">
        <v>11</v>
      </c>
      <c r="I74" s="6" t="s">
        <v>13</v>
      </c>
      <c r="J74" s="6" t="s">
        <v>15</v>
      </c>
      <c r="R74" s="1"/>
      <c r="S74" s="6" t="s">
        <v>1</v>
      </c>
      <c r="T74" s="6" t="s">
        <v>2</v>
      </c>
      <c r="U74" s="6" t="s">
        <v>4</v>
      </c>
      <c r="V74" s="6" t="s">
        <v>6</v>
      </c>
      <c r="W74" s="6" t="s">
        <v>8</v>
      </c>
      <c r="X74" s="6" t="s">
        <v>9</v>
      </c>
      <c r="Y74" s="6" t="s">
        <v>11</v>
      </c>
      <c r="Z74" s="6" t="s">
        <v>13</v>
      </c>
      <c r="AA74" s="6" t="s">
        <v>15</v>
      </c>
      <c r="AD74" s="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R74" s="1"/>
      <c r="AT74" s="1"/>
      <c r="AU74" s="1"/>
      <c r="AV74" s="1"/>
      <c r="AW74" s="1"/>
      <c r="AX74" s="1"/>
      <c r="AY74" s="1"/>
      <c r="BA74" s="1"/>
      <c r="BB74" s="1"/>
      <c r="BC74" s="1"/>
      <c r="BD74" s="1"/>
      <c r="BE74" s="1"/>
      <c r="BG74" s="1"/>
      <c r="BH74" s="1"/>
      <c r="BI74" s="1"/>
      <c r="BK74" s="1"/>
      <c r="BL74" s="1"/>
      <c r="BM74" s="1"/>
      <c r="BO74" s="1"/>
      <c r="BP74" s="1"/>
      <c r="BR74" s="1"/>
    </row>
    <row r="75" spans="1:70" x14ac:dyDescent="0.3">
      <c r="A75" s="6" t="s">
        <v>1</v>
      </c>
      <c r="B75" s="1"/>
      <c r="C75" s="1"/>
      <c r="D75" s="13">
        <f>$R$20-T2-$AA$17*(1-AD15)</f>
        <v>-52.999999999999993</v>
      </c>
      <c r="E75" s="13">
        <f t="shared" ref="E75:I75" si="97">$R$20-U2-$AA$17*(1-AE15)</f>
        <v>-54.009999999999984</v>
      </c>
      <c r="F75" s="13">
        <f t="shared" si="97"/>
        <v>-56.129999999999988</v>
      </c>
      <c r="G75" s="13">
        <f t="shared" si="97"/>
        <v>-58.829999999999984</v>
      </c>
      <c r="H75" s="13">
        <f t="shared" si="97"/>
        <v>3.5527136788005009E-15</v>
      </c>
      <c r="I75" s="13">
        <f t="shared" si="97"/>
        <v>-2.4400000000000084</v>
      </c>
      <c r="J75" s="13">
        <f>$R$20-Z2-$AA$17*(1-AJ15)</f>
        <v>-10.590000000000027</v>
      </c>
      <c r="R75" s="6" t="s">
        <v>1</v>
      </c>
      <c r="S75" s="1"/>
      <c r="T75" s="1"/>
      <c r="U75" s="1">
        <f>T16-$R$4-$AA$17*(1-AD7)</f>
        <v>-1.0099999999999962</v>
      </c>
      <c r="V75" s="1">
        <f t="shared" ref="V75:AA75" si="98">U16-$R$4-$AA$17*(1-AE7)</f>
        <v>-1.7763568394002505E-15</v>
      </c>
      <c r="W75" s="1">
        <f>V16-$R$4-$AA$17*(1-AF7)</f>
        <v>-58.83000000000002</v>
      </c>
      <c r="X75" s="1">
        <f t="shared" si="98"/>
        <v>-55.47</v>
      </c>
      <c r="Y75" s="1">
        <f t="shared" si="98"/>
        <v>-54.009999999999991</v>
      </c>
      <c r="Z75" s="1">
        <f t="shared" si="98"/>
        <v>-51.569999999999979</v>
      </c>
      <c r="AA75" s="1">
        <f t="shared" si="98"/>
        <v>-41.289999999999964</v>
      </c>
      <c r="AD75" s="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R75" s="1"/>
      <c r="AT75" s="1"/>
      <c r="AU75" s="1"/>
      <c r="AV75" s="1"/>
      <c r="AW75" s="1"/>
      <c r="AX75" s="1"/>
      <c r="AY75" s="1"/>
      <c r="BA75" s="1"/>
      <c r="BB75" s="1"/>
      <c r="BC75" s="1"/>
      <c r="BD75" s="1"/>
      <c r="BE75" s="1"/>
      <c r="BG75" s="1"/>
      <c r="BH75" s="1"/>
      <c r="BI75" s="1"/>
      <c r="BK75" s="1"/>
      <c r="BL75" s="1"/>
      <c r="BM75" s="1"/>
      <c r="BO75" s="1"/>
      <c r="BP75" s="1"/>
      <c r="BR75" s="1"/>
    </row>
    <row r="76" spans="1:70" x14ac:dyDescent="0.3">
      <c r="A76" s="6" t="s">
        <v>2</v>
      </c>
      <c r="B76" s="1"/>
      <c r="C76" s="1"/>
      <c r="D76" s="13">
        <f>$S$20-T2-$AA$17*(1-AL15)</f>
        <v>-48.539999999999978</v>
      </c>
      <c r="E76" s="13">
        <f t="shared" ref="E76:I76" si="99">$S$20-U2-$AA$17*(1-AM15)</f>
        <v>-49.549999999999969</v>
      </c>
      <c r="F76" s="13">
        <f t="shared" si="99"/>
        <v>-51.669999999999973</v>
      </c>
      <c r="G76" s="13">
        <f t="shared" si="99"/>
        <v>-54.369999999999976</v>
      </c>
      <c r="H76" s="13">
        <f t="shared" si="99"/>
        <v>-57.139999999999993</v>
      </c>
      <c r="I76" s="13">
        <f t="shared" si="99"/>
        <v>-59.580000000000005</v>
      </c>
      <c r="J76" s="13">
        <f>$S$20-Z2-$AA$17*(1-AR15)</f>
        <v>-6.1300000000000132</v>
      </c>
      <c r="R76" s="6" t="s">
        <v>2</v>
      </c>
      <c r="S76" s="1"/>
      <c r="T76" s="1"/>
      <c r="U76" s="1">
        <f>T16-$S$4-$AA$17*(1-AL7)</f>
        <v>-3.8999999999999941</v>
      </c>
      <c r="V76" s="1">
        <f t="shared" ref="V76:AA76" si="100">U16-$S$4-$AA$17*(1-AM7)</f>
        <v>-2.8899999999999997</v>
      </c>
      <c r="W76" s="1">
        <f t="shared" si="100"/>
        <v>-0.12000000000000632</v>
      </c>
      <c r="X76" s="1">
        <f>W16-$S$4-$AA$17*(1-AO7)</f>
        <v>-58.36</v>
      </c>
      <c r="Y76" s="1">
        <f t="shared" si="100"/>
        <v>-56.899999999999991</v>
      </c>
      <c r="Z76" s="1">
        <f t="shared" si="100"/>
        <v>-54.45999999999998</v>
      </c>
      <c r="AA76" s="1">
        <f t="shared" si="100"/>
        <v>-44.179999999999957</v>
      </c>
      <c r="AD76" s="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R76" s="1"/>
      <c r="AT76" s="1"/>
      <c r="AU76" s="1"/>
      <c r="AV76" s="1"/>
      <c r="AW76" s="1"/>
      <c r="AX76" s="1"/>
      <c r="AY76" s="1"/>
      <c r="BA76" s="1"/>
      <c r="BB76" s="1"/>
      <c r="BC76" s="1"/>
      <c r="BD76" s="1"/>
      <c r="BE76" s="1"/>
      <c r="BG76" s="1"/>
      <c r="BH76" s="1"/>
      <c r="BI76" s="1"/>
      <c r="BK76" s="1"/>
      <c r="BL76" s="1"/>
      <c r="BM76" s="1"/>
      <c r="BO76" s="1"/>
      <c r="BP76" s="1"/>
      <c r="BR76" s="1"/>
    </row>
    <row r="77" spans="1:70" x14ac:dyDescent="0.3">
      <c r="A77" s="6" t="s">
        <v>4</v>
      </c>
      <c r="B77" s="1"/>
      <c r="C77" s="1"/>
      <c r="D77" s="1"/>
      <c r="E77" s="13">
        <f>$T$20-U2-$AA$17*(1-AT15)</f>
        <v>-48.089999999999975</v>
      </c>
      <c r="F77" s="13">
        <f t="shared" ref="F77:J77" si="101">$T$20-V2-$AA$17*(1-AU15)</f>
        <v>-50.20999999999998</v>
      </c>
      <c r="G77" s="13">
        <f t="shared" si="101"/>
        <v>-52.909999999999975</v>
      </c>
      <c r="H77" s="13">
        <f t="shared" si="101"/>
        <v>-55.679999999999993</v>
      </c>
      <c r="I77" s="13">
        <f t="shared" si="101"/>
        <v>-58.120000000000005</v>
      </c>
      <c r="J77" s="13">
        <f t="shared" si="101"/>
        <v>-4.6700000000000159</v>
      </c>
      <c r="R77" s="6" t="s">
        <v>4</v>
      </c>
      <c r="S77" s="1"/>
      <c r="T77" s="1"/>
      <c r="U77" s="1"/>
      <c r="V77" s="1">
        <f>U16-$T$4-$AA$17*(1-AT7)</f>
        <v>-4.5800000000000063</v>
      </c>
      <c r="W77" s="1">
        <f t="shared" ref="W77:AA77" si="102">V16-$T$4-$AA$17*(1-AU7)</f>
        <v>-1.8100000000000129</v>
      </c>
      <c r="X77" s="1">
        <f t="shared" si="102"/>
        <v>-60.050000000000004</v>
      </c>
      <c r="Y77" s="1">
        <f t="shared" si="102"/>
        <v>-58.589999999999996</v>
      </c>
      <c r="Z77" s="1">
        <f t="shared" si="102"/>
        <v>-56.149999999999984</v>
      </c>
      <c r="AA77" s="1">
        <f t="shared" si="102"/>
        <v>-45.869999999999962</v>
      </c>
      <c r="AD77" s="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R77" s="1"/>
      <c r="AT77" s="1"/>
      <c r="AU77" s="1"/>
      <c r="AV77" s="1"/>
      <c r="AW77" s="1"/>
      <c r="AX77" s="1"/>
      <c r="AY77" s="1"/>
      <c r="BA77" s="1"/>
      <c r="BB77" s="1"/>
      <c r="BC77" s="1"/>
      <c r="BD77" s="1"/>
      <c r="BE77" s="1"/>
      <c r="BG77" s="1"/>
      <c r="BH77" s="1"/>
      <c r="BI77" s="1"/>
      <c r="BK77" s="1"/>
      <c r="BL77" s="1"/>
      <c r="BM77" s="1"/>
      <c r="BO77" s="1"/>
      <c r="BP77" s="1"/>
      <c r="BR77" s="1"/>
    </row>
    <row r="78" spans="1:70" x14ac:dyDescent="0.3">
      <c r="A78" s="6" t="s">
        <v>6</v>
      </c>
      <c r="B78" s="1"/>
      <c r="C78" s="1"/>
      <c r="D78" s="1"/>
      <c r="E78" s="1"/>
      <c r="F78" s="13">
        <f>$U$20-V2-$AA$17*(1-BA15)</f>
        <v>-45.539999999999964</v>
      </c>
      <c r="G78" s="13">
        <f t="shared" ref="G78:J78" si="103">$U$20-W2-$AA$17*(1-BB15)</f>
        <v>-48.239999999999966</v>
      </c>
      <c r="H78" s="13">
        <f t="shared" si="103"/>
        <v>-51.009999999999984</v>
      </c>
      <c r="I78" s="13">
        <f t="shared" si="103"/>
        <v>-53.449999999999996</v>
      </c>
      <c r="J78" s="13">
        <f t="shared" si="103"/>
        <v>-3.5527136788005009E-15</v>
      </c>
      <c r="R78" s="6" t="s">
        <v>6</v>
      </c>
      <c r="S78" s="1"/>
      <c r="T78" s="1"/>
      <c r="U78" s="1"/>
      <c r="V78" s="1"/>
      <c r="W78" s="1">
        <f>V16-$U$4-$AA$17*(1-BA7)</f>
        <v>-4.2500000000000213</v>
      </c>
      <c r="X78" s="1">
        <f t="shared" ref="X78:AA78" si="104">W16-$U$4-$AA$17*(1-BB7)</f>
        <v>-0.89000000000000412</v>
      </c>
      <c r="Y78" s="1">
        <f t="shared" si="104"/>
        <v>-61.03</v>
      </c>
      <c r="Z78" s="1">
        <f t="shared" si="104"/>
        <v>-58.589999999999989</v>
      </c>
      <c r="AA78" s="1">
        <f t="shared" si="104"/>
        <v>-48.309999999999974</v>
      </c>
      <c r="AD78" s="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R78" s="1"/>
      <c r="AT78" s="1"/>
      <c r="AU78" s="1"/>
      <c r="AV78" s="1"/>
      <c r="AW78" s="1"/>
      <c r="AX78" s="1"/>
      <c r="AY78" s="1"/>
      <c r="BA78" s="1"/>
      <c r="BB78" s="1"/>
      <c r="BC78" s="1"/>
      <c r="BD78" s="1"/>
      <c r="BE78" s="1"/>
      <c r="BG78" s="1"/>
      <c r="BH78" s="1"/>
      <c r="BI78" s="1"/>
      <c r="BK78" s="1"/>
      <c r="BL78" s="1"/>
      <c r="BM78" s="1"/>
      <c r="BO78" s="1"/>
      <c r="BP78" s="1"/>
      <c r="BR78" s="1"/>
    </row>
    <row r="79" spans="1:70" x14ac:dyDescent="0.3">
      <c r="A79" s="6" t="s">
        <v>8</v>
      </c>
      <c r="B79" s="1"/>
      <c r="C79" s="1"/>
      <c r="D79" s="1"/>
      <c r="E79" s="1"/>
      <c r="F79" s="1"/>
      <c r="G79" s="1"/>
      <c r="H79" s="13">
        <f>$V$20-X2-$AA$17*(1-BG15)</f>
        <v>-45.219999999999985</v>
      </c>
      <c r="I79" s="13">
        <f t="shared" ref="I79:J79" si="105">$V$20-Y2-$AA$17*(1-BH15)</f>
        <v>-47.66</v>
      </c>
      <c r="J79" s="13">
        <f t="shared" si="105"/>
        <v>-55.810000000000016</v>
      </c>
      <c r="R79" s="6" t="s">
        <v>8</v>
      </c>
      <c r="S79" s="1"/>
      <c r="T79" s="1"/>
      <c r="U79" s="1"/>
      <c r="V79" s="1"/>
      <c r="W79" s="1"/>
      <c r="X79" s="1"/>
      <c r="Y79" s="1">
        <f>X16-$V$4-$AA$17*(1-BG7)</f>
        <v>-2.4400000000000173</v>
      </c>
      <c r="Z79" s="1">
        <f t="shared" ref="Z79:AA79" si="106">Y16-$V$4-$AA$17*(1-BH7)</f>
        <v>-5.3290705182007514E-15</v>
      </c>
      <c r="AA79" s="1">
        <f t="shared" si="106"/>
        <v>-51.319999999999993</v>
      </c>
      <c r="AD79" s="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R79" s="1"/>
      <c r="AT79" s="1"/>
      <c r="AU79" s="1"/>
      <c r="AV79" s="1"/>
      <c r="AW79" s="1"/>
      <c r="AX79" s="1"/>
      <c r="AY79" s="1"/>
      <c r="BA79" s="1"/>
      <c r="BB79" s="1"/>
      <c r="BC79" s="1"/>
      <c r="BD79" s="1"/>
      <c r="BE79" s="1"/>
      <c r="BG79" s="1"/>
      <c r="BH79" s="1"/>
      <c r="BI79" s="1"/>
      <c r="BK79" s="1"/>
      <c r="BL79" s="1"/>
      <c r="BM79" s="1"/>
      <c r="BO79" s="1"/>
      <c r="BP79" s="1"/>
      <c r="BR79" s="1"/>
    </row>
    <row r="80" spans="1:70" x14ac:dyDescent="0.3">
      <c r="A80" s="6" t="s">
        <v>9</v>
      </c>
      <c r="B80" s="1"/>
      <c r="C80" s="1"/>
      <c r="D80" s="1"/>
      <c r="E80" s="1"/>
      <c r="F80" s="1"/>
      <c r="G80" s="1"/>
      <c r="H80" s="13">
        <f>$W$20-X2-$AA$17*(1-BK15)</f>
        <v>-41.509999999999948</v>
      </c>
      <c r="I80" s="13">
        <f t="shared" ref="I80:J80" si="107">$W$20-Y2-$AA$17*(1-BL15)</f>
        <v>-43.94999999999996</v>
      </c>
      <c r="J80" s="13">
        <f t="shared" si="107"/>
        <v>-52.09999999999998</v>
      </c>
      <c r="R80" s="6" t="s">
        <v>9</v>
      </c>
      <c r="S80" s="1"/>
      <c r="T80" s="1"/>
      <c r="U80" s="1"/>
      <c r="V80" s="1"/>
      <c r="W80" s="1"/>
      <c r="X80" s="1"/>
      <c r="Y80" s="1">
        <f>X16-$W$4-$AA$17*(1-BK7)</f>
        <v>-5.8000000000000185</v>
      </c>
      <c r="Z80" s="1">
        <f t="shared" ref="Z80:AA80" si="108">Y16-$W$4-$AA$17*(1-BL7)</f>
        <v>-3.3600000000000065</v>
      </c>
      <c r="AA80" s="1">
        <f t="shared" si="108"/>
        <v>-54.679999999999993</v>
      </c>
      <c r="AD80" s="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R80" s="1"/>
      <c r="AT80" s="1"/>
      <c r="AU80" s="1"/>
      <c r="AV80" s="1"/>
      <c r="AW80" s="1"/>
      <c r="AX80" s="1"/>
      <c r="AY80" s="1"/>
      <c r="BA80" s="1"/>
      <c r="BB80" s="1"/>
      <c r="BC80" s="1"/>
      <c r="BD80" s="1"/>
      <c r="BE80" s="1"/>
      <c r="BG80" s="1"/>
      <c r="BH80" s="1"/>
      <c r="BI80" s="1"/>
      <c r="BK80" s="1"/>
      <c r="BL80" s="1"/>
      <c r="BM80" s="1"/>
      <c r="BO80" s="1"/>
      <c r="BP80" s="1"/>
      <c r="BR80" s="1"/>
    </row>
    <row r="81" spans="1:70" x14ac:dyDescent="0.3">
      <c r="A81" s="6" t="s">
        <v>11</v>
      </c>
      <c r="B81" s="1"/>
      <c r="C81" s="1"/>
      <c r="D81" s="1"/>
      <c r="E81" s="1"/>
      <c r="F81" s="1"/>
      <c r="G81" s="1"/>
      <c r="H81" s="1"/>
      <c r="I81" s="13">
        <f>$X$20-Y2-$AA$17*(1-BO15)</f>
        <v>-42.490000000000038</v>
      </c>
      <c r="J81" s="13">
        <f>$X$20-Z2-$AA$17*(1-BP15)</f>
        <v>-50.640000000000057</v>
      </c>
      <c r="R81" s="6" t="s">
        <v>11</v>
      </c>
      <c r="S81" s="1"/>
      <c r="T81" s="1"/>
      <c r="U81" s="1"/>
      <c r="V81" s="1"/>
      <c r="W81" s="1"/>
      <c r="X81" s="1"/>
      <c r="Y81" s="1"/>
      <c r="Z81" s="1">
        <f>Y16-$X$4-$AA$17*(1-BO7)</f>
        <v>-10.280000000000019</v>
      </c>
      <c r="AA81" s="1">
        <f>Z16-$X$4-$AA$17*(1-BP7)</f>
        <v>0</v>
      </c>
      <c r="AD81" s="1"/>
      <c r="AE81" s="1"/>
      <c r="AF81" s="1"/>
      <c r="AG81" s="1"/>
      <c r="AH81" s="1"/>
      <c r="AI81" s="1"/>
      <c r="AJ81" s="1"/>
      <c r="AL81" s="1"/>
      <c r="AM81" s="1"/>
      <c r="AN81" s="1"/>
      <c r="AO81" s="1"/>
      <c r="AP81" s="1"/>
      <c r="AQ81" s="1"/>
      <c r="AR81" s="1"/>
      <c r="AT81" s="1"/>
      <c r="AU81" s="1"/>
      <c r="AV81" s="1"/>
      <c r="AW81" s="1"/>
      <c r="AX81" s="1"/>
      <c r="AY81" s="1"/>
      <c r="BA81" s="1"/>
      <c r="BB81" s="1"/>
      <c r="BC81" s="1"/>
      <c r="BD81" s="1"/>
      <c r="BE81" s="1"/>
      <c r="BG81" s="1"/>
      <c r="BH81" s="1"/>
      <c r="BI81" s="1"/>
      <c r="BK81" s="1"/>
      <c r="BL81" s="1"/>
      <c r="BM81" s="1"/>
      <c r="BO81" s="1"/>
      <c r="BP81" s="1"/>
      <c r="BR81" s="1"/>
    </row>
    <row r="82" spans="1:70" x14ac:dyDescent="0.3">
      <c r="A82" s="6" t="s">
        <v>13</v>
      </c>
      <c r="B82" s="1"/>
      <c r="C82" s="1"/>
      <c r="D82" s="1"/>
      <c r="E82" s="1"/>
      <c r="F82" s="1"/>
      <c r="G82" s="1"/>
      <c r="H82" s="1"/>
      <c r="I82" s="1"/>
      <c r="J82" s="13">
        <f>$Y$20-Z2-$AA$17*(1-BR15)</f>
        <v>-47.290000000000056</v>
      </c>
      <c r="R82" s="6" t="s">
        <v>13</v>
      </c>
      <c r="S82" s="1"/>
      <c r="T82" s="1"/>
      <c r="U82" s="1"/>
      <c r="V82" s="1"/>
      <c r="W82" s="1"/>
      <c r="X82" s="1"/>
      <c r="Y82" s="1"/>
      <c r="Z82" s="1"/>
      <c r="AA82" s="1">
        <f>Z16-$Y$4-$AA$17*(1-BR7)</f>
        <v>-2.4399999999999515</v>
      </c>
      <c r="AD82" s="1"/>
      <c r="AE82" s="1"/>
      <c r="AF82" s="1"/>
      <c r="AG82" s="1"/>
      <c r="AH82" s="1"/>
      <c r="AI82" s="1"/>
      <c r="AJ82" s="1"/>
      <c r="AL82" s="1"/>
      <c r="AM82" s="1"/>
      <c r="AN82" s="1"/>
      <c r="AO82" s="1"/>
      <c r="AP82" s="1"/>
      <c r="AQ82" s="1"/>
      <c r="AR82" s="1"/>
      <c r="AT82" s="1"/>
      <c r="AU82" s="1"/>
      <c r="AV82" s="1"/>
      <c r="AW82" s="1"/>
      <c r="AX82" s="1"/>
      <c r="AY82" s="1"/>
      <c r="BA82" s="1"/>
      <c r="BB82" s="1"/>
      <c r="BC82" s="1"/>
      <c r="BD82" s="1"/>
      <c r="BE82" s="1"/>
      <c r="BG82" s="1"/>
      <c r="BH82" s="1"/>
      <c r="BI82" s="1"/>
      <c r="BK82" s="1"/>
      <c r="BL82" s="1"/>
      <c r="BM82" s="1"/>
      <c r="BO82" s="1"/>
      <c r="BP82" s="1"/>
      <c r="BR82" s="1"/>
    </row>
    <row r="83" spans="1:70" x14ac:dyDescent="0.3">
      <c r="A83" s="6" t="s">
        <v>15</v>
      </c>
      <c r="B83" s="1"/>
      <c r="C83" s="1"/>
      <c r="D83" s="1"/>
      <c r="E83" s="1"/>
      <c r="F83" s="1"/>
      <c r="G83" s="1"/>
      <c r="H83" s="1"/>
      <c r="I83" s="1"/>
      <c r="J83" s="1"/>
      <c r="R83" s="6" t="s">
        <v>15</v>
      </c>
      <c r="S83" s="1"/>
      <c r="T83" s="1"/>
      <c r="U83" s="1"/>
      <c r="V83" s="1"/>
      <c r="W83" s="1"/>
      <c r="X83" s="1"/>
      <c r="Y83" s="1"/>
      <c r="Z83" s="1"/>
      <c r="AA83" s="1"/>
      <c r="AD83" s="1"/>
      <c r="AE83" s="1"/>
      <c r="AF83" s="1"/>
      <c r="AG83" s="1"/>
      <c r="AH83" s="1"/>
      <c r="AI83" s="1"/>
      <c r="AJ83" s="1"/>
      <c r="AL83" s="1"/>
      <c r="AM83" s="1"/>
      <c r="AN83" s="1"/>
      <c r="AO83" s="1"/>
      <c r="AP83" s="1"/>
      <c r="AQ83" s="1"/>
      <c r="AR83" s="1"/>
      <c r="AT83" s="1"/>
      <c r="AU83" s="1"/>
      <c r="AV83" s="1"/>
      <c r="AW83" s="1"/>
      <c r="AX83" s="1"/>
      <c r="AY83" s="1"/>
      <c r="BA83" s="1"/>
      <c r="BB83" s="1"/>
      <c r="BC83" s="1"/>
      <c r="BD83" s="1"/>
      <c r="BE83" s="1"/>
      <c r="BG83" s="1"/>
      <c r="BH83" s="1"/>
      <c r="BI83" s="1"/>
      <c r="BK83" s="1"/>
      <c r="BL83" s="1"/>
      <c r="BM83" s="1"/>
      <c r="BO83" s="1"/>
      <c r="BP83" s="1"/>
      <c r="BR83" s="1"/>
    </row>
    <row r="84" spans="1:70" x14ac:dyDescent="0.3">
      <c r="AD84" s="1"/>
      <c r="AE84" s="1"/>
      <c r="AF84" s="1"/>
      <c r="AG84" s="1"/>
      <c r="AH84" s="1"/>
      <c r="AI84" s="1"/>
      <c r="AJ84" s="1"/>
      <c r="AL84" s="1"/>
      <c r="AM84" s="1"/>
      <c r="AN84" s="1"/>
      <c r="AO84" s="1"/>
      <c r="AP84" s="1"/>
      <c r="AQ84" s="1"/>
      <c r="AR84" s="1"/>
      <c r="AT84" s="1"/>
      <c r="AU84" s="1"/>
      <c r="AV84" s="1"/>
      <c r="AW84" s="1"/>
      <c r="AX84" s="1"/>
      <c r="AY84" s="1"/>
      <c r="BA84" s="1"/>
      <c r="BB84" s="1"/>
      <c r="BC84" s="1"/>
      <c r="BD84" s="1"/>
      <c r="BE84" s="1"/>
      <c r="BG84" s="1"/>
      <c r="BH84" s="1"/>
      <c r="BI84" s="1"/>
      <c r="BK84" s="1"/>
      <c r="BL84" s="1"/>
      <c r="BM84" s="1"/>
      <c r="BO84" s="1"/>
      <c r="BP84" s="1"/>
      <c r="BR84" s="1"/>
    </row>
    <row r="85" spans="1:70" x14ac:dyDescent="0.3">
      <c r="A85" t="s">
        <v>74</v>
      </c>
      <c r="R85" s="1" t="s">
        <v>34</v>
      </c>
      <c r="S85" s="6" t="s">
        <v>1</v>
      </c>
      <c r="T85" s="6" t="s">
        <v>2</v>
      </c>
      <c r="U85" s="6" t="s">
        <v>4</v>
      </c>
      <c r="V85" s="6" t="s">
        <v>6</v>
      </c>
      <c r="W85" s="6" t="s">
        <v>8</v>
      </c>
      <c r="X85" s="6" t="s">
        <v>9</v>
      </c>
      <c r="Y85" s="6" t="s">
        <v>11</v>
      </c>
      <c r="Z85" s="6" t="s">
        <v>13</v>
      </c>
      <c r="AA85" s="6" t="s">
        <v>15</v>
      </c>
      <c r="AD85" s="1"/>
      <c r="AE85" s="1"/>
      <c r="AF85" s="1"/>
      <c r="AG85" s="1"/>
      <c r="AH85" s="1"/>
      <c r="AI85" s="1"/>
      <c r="AJ85" s="1"/>
      <c r="AL85" s="1"/>
      <c r="AM85" s="1"/>
      <c r="AN85" s="1"/>
      <c r="AO85" s="1"/>
      <c r="AP85" s="1"/>
      <c r="AQ85" s="1"/>
      <c r="AR85" s="1"/>
      <c r="AT85" s="1"/>
      <c r="AU85" s="1"/>
      <c r="AV85" s="1"/>
      <c r="AW85" s="1"/>
      <c r="AX85" s="1"/>
      <c r="AY85" s="1"/>
      <c r="BA85" s="1"/>
      <c r="BB85" s="1"/>
      <c r="BC85" s="1"/>
      <c r="BD85" s="1"/>
      <c r="BE85" s="1"/>
      <c r="BG85" s="1"/>
      <c r="BH85" s="1"/>
      <c r="BI85" s="1"/>
      <c r="BK85" s="1"/>
      <c r="BL85" s="1"/>
      <c r="BM85" s="1"/>
      <c r="BO85" s="1"/>
      <c r="BP85" s="1"/>
      <c r="BR85" s="1"/>
    </row>
    <row r="86" spans="1:70" x14ac:dyDescent="0.3">
      <c r="A86" s="1"/>
      <c r="B86" s="6" t="s">
        <v>1</v>
      </c>
      <c r="C86" s="6" t="s">
        <v>2</v>
      </c>
      <c r="D86" s="6" t="s">
        <v>4</v>
      </c>
      <c r="E86" s="6" t="s">
        <v>6</v>
      </c>
      <c r="F86" s="6" t="s">
        <v>8</v>
      </c>
      <c r="G86" s="6" t="s">
        <v>9</v>
      </c>
      <c r="H86" s="6" t="s">
        <v>11</v>
      </c>
      <c r="I86" s="6" t="s">
        <v>13</v>
      </c>
      <c r="J86" s="6" t="s">
        <v>15</v>
      </c>
      <c r="R86" s="6" t="s">
        <v>1</v>
      </c>
      <c r="S86" s="1"/>
      <c r="T86" s="1"/>
      <c r="U86" s="1">
        <f>T17-$R$4-$AA$17*(1-AD8)</f>
        <v>-59.600000000000016</v>
      </c>
      <c r="V86" s="1">
        <f t="shared" ref="V86:AA86" si="109">U17-$R$4-$AA$17*(1-AE8)</f>
        <v>-58.710000000000015</v>
      </c>
      <c r="W86" s="1">
        <f t="shared" si="109"/>
        <v>-55.469999999999992</v>
      </c>
      <c r="X86" s="1">
        <f t="shared" si="109"/>
        <v>-51.809999999999988</v>
      </c>
      <c r="Y86" s="1">
        <f t="shared" si="109"/>
        <v>-49.430000000000007</v>
      </c>
      <c r="Z86" s="1">
        <f t="shared" si="109"/>
        <v>-45.889999999999972</v>
      </c>
      <c r="AA86" s="1">
        <f t="shared" si="109"/>
        <v>-35.259999999999948</v>
      </c>
      <c r="AD86" s="1"/>
      <c r="AE86" s="1"/>
      <c r="AF86" s="1"/>
      <c r="AG86" s="1"/>
      <c r="AH86" s="1"/>
      <c r="AI86" s="1"/>
      <c r="AJ86" s="1"/>
      <c r="AL86" s="1"/>
      <c r="AM86" s="1"/>
      <c r="AN86" s="1"/>
      <c r="AO86" s="1"/>
      <c r="AP86" s="1"/>
      <c r="AQ86" s="1"/>
      <c r="AR86" s="1"/>
      <c r="AT86" s="1"/>
      <c r="AU86" s="1"/>
      <c r="AV86" s="1"/>
      <c r="AW86" s="1"/>
      <c r="AX86" s="1"/>
      <c r="AY86" s="1"/>
      <c r="BA86" s="1"/>
      <c r="BB86" s="1"/>
      <c r="BC86" s="1"/>
      <c r="BD86" s="1"/>
      <c r="BE86" s="1"/>
      <c r="BG86" s="1"/>
      <c r="BH86" s="1"/>
      <c r="BI86" s="1"/>
      <c r="BK86" s="1"/>
      <c r="BL86" s="1"/>
      <c r="BM86" s="1"/>
      <c r="BO86" s="1"/>
      <c r="BP86" s="1"/>
      <c r="BR86" s="1"/>
    </row>
    <row r="87" spans="1:70" x14ac:dyDescent="0.3">
      <c r="A87" s="6" t="s">
        <v>1</v>
      </c>
      <c r="B87" s="1"/>
      <c r="C87" s="1"/>
      <c r="D87" s="13">
        <f>$R$20-T3-$AA$17*(1-AD16)</f>
        <v>-56.009999999999984</v>
      </c>
      <c r="E87" s="13">
        <f t="shared" ref="E87:I87" si="110">$R$20-U3-$AA$17*(1-AE16)</f>
        <v>-56.899999999999977</v>
      </c>
      <c r="F87" s="13">
        <f t="shared" si="110"/>
        <v>-60.260000000000005</v>
      </c>
      <c r="G87" s="13">
        <f t="shared" si="110"/>
        <v>-0.12000000000000099</v>
      </c>
      <c r="H87" s="13">
        <f t="shared" si="110"/>
        <v>-4.5799999999999788</v>
      </c>
      <c r="I87" s="13">
        <f t="shared" si="110"/>
        <v>-8.120000000000017</v>
      </c>
      <c r="J87" s="13">
        <f>$R$20-Z3-$AA$17*(1-AJ16)</f>
        <v>-16.620000000000033</v>
      </c>
      <c r="R87" s="6" t="s">
        <v>2</v>
      </c>
      <c r="S87" s="1"/>
      <c r="T87" s="1"/>
      <c r="U87" s="1">
        <f>T17-$S$4-$AA$17*(1-AL8)</f>
        <v>-0.89000000000000412</v>
      </c>
      <c r="V87" s="1">
        <f t="shared" ref="V87:AA87" si="111">U17-$S$4-$AA$17*(1-AM8)</f>
        <v>-4.4408920985006262E-15</v>
      </c>
      <c r="W87" s="1">
        <f t="shared" si="111"/>
        <v>-58.359999999999985</v>
      </c>
      <c r="X87" s="1">
        <f t="shared" si="111"/>
        <v>-54.699999999999982</v>
      </c>
      <c r="Y87" s="1">
        <f t="shared" si="111"/>
        <v>-52.320000000000007</v>
      </c>
      <c r="Z87" s="1">
        <f t="shared" si="111"/>
        <v>-48.779999999999966</v>
      </c>
      <c r="AA87" s="1">
        <f t="shared" si="111"/>
        <v>-38.149999999999949</v>
      </c>
      <c r="AD87" s="1"/>
      <c r="AE87" s="1"/>
      <c r="AF87" s="1"/>
      <c r="AG87" s="1"/>
      <c r="AH87" s="1"/>
      <c r="AI87" s="1"/>
      <c r="AJ87" s="1"/>
      <c r="AL87" s="1"/>
      <c r="AM87" s="1"/>
      <c r="AN87" s="1"/>
      <c r="AO87" s="1"/>
      <c r="AP87" s="1"/>
      <c r="AQ87" s="1"/>
      <c r="AR87" s="1"/>
      <c r="AT87" s="1"/>
      <c r="AU87" s="1"/>
      <c r="AV87" s="1"/>
      <c r="AW87" s="1"/>
      <c r="AX87" s="1"/>
      <c r="AY87" s="1"/>
      <c r="BA87" s="1"/>
      <c r="BB87" s="1"/>
      <c r="BC87" s="1"/>
      <c r="BD87" s="1"/>
      <c r="BE87" s="1"/>
      <c r="BG87" s="1"/>
      <c r="BH87" s="1"/>
      <c r="BI87" s="1"/>
      <c r="BK87" s="1"/>
      <c r="BL87" s="1"/>
      <c r="BM87" s="1"/>
      <c r="BO87" s="1"/>
      <c r="BP87" s="1"/>
      <c r="BR87" s="1"/>
    </row>
    <row r="88" spans="1:70" x14ac:dyDescent="0.3">
      <c r="A88" s="6" t="s">
        <v>2</v>
      </c>
      <c r="B88" s="1"/>
      <c r="C88" s="1"/>
      <c r="D88" s="13">
        <f>$S$20-T3-$AA$17*(1-AL16)</f>
        <v>-51.549999999999969</v>
      </c>
      <c r="E88" s="13">
        <f t="shared" ref="E88:J88" si="112">$S$20-U3-$AA$17*(1-AM16)</f>
        <v>-52.439999999999969</v>
      </c>
      <c r="F88" s="13">
        <f t="shared" si="112"/>
        <v>-55.79999999999999</v>
      </c>
      <c r="G88" s="13">
        <f t="shared" si="112"/>
        <v>-57.26</v>
      </c>
      <c r="H88" s="13">
        <f t="shared" si="112"/>
        <v>-0.11999999999996547</v>
      </c>
      <c r="I88" s="13">
        <f t="shared" si="112"/>
        <v>-3.6600000000000037</v>
      </c>
      <c r="J88" s="13">
        <f t="shared" si="112"/>
        <v>-12.160000000000021</v>
      </c>
      <c r="R88" s="6" t="s">
        <v>4</v>
      </c>
      <c r="S88" s="1"/>
      <c r="T88" s="1"/>
      <c r="U88" s="1"/>
      <c r="V88" s="1">
        <f>U17-$T$4-$AA$17*(1-AT8)</f>
        <v>-1.690000000000011</v>
      </c>
      <c r="W88" s="1">
        <f t="shared" ref="W88:AA88" si="113">V17-$T$4-$AA$17*(1-AU8)</f>
        <v>-60.05</v>
      </c>
      <c r="X88" s="1">
        <f t="shared" si="113"/>
        <v>-56.389999999999986</v>
      </c>
      <c r="Y88" s="1">
        <f t="shared" si="113"/>
        <v>-54.010000000000012</v>
      </c>
      <c r="Z88" s="1">
        <f t="shared" si="113"/>
        <v>-50.46999999999997</v>
      </c>
      <c r="AA88" s="1">
        <f t="shared" si="113"/>
        <v>-39.839999999999961</v>
      </c>
      <c r="AD88" s="1"/>
      <c r="AE88" s="1"/>
      <c r="AF88" s="1"/>
      <c r="AG88" s="1"/>
      <c r="AH88" s="1"/>
      <c r="AI88" s="1"/>
      <c r="AJ88" s="1"/>
      <c r="AL88" s="1"/>
      <c r="AM88" s="1"/>
      <c r="AN88" s="1"/>
      <c r="AO88" s="1"/>
      <c r="AP88" s="1"/>
      <c r="AQ88" s="1"/>
      <c r="AR88" s="1"/>
      <c r="AT88" s="1"/>
      <c r="AU88" s="1"/>
      <c r="AV88" s="1"/>
      <c r="AW88" s="1"/>
      <c r="AX88" s="1"/>
      <c r="AY88" s="1"/>
      <c r="BA88" s="1"/>
      <c r="BB88" s="1"/>
      <c r="BC88" s="1"/>
      <c r="BD88" s="1"/>
      <c r="BE88" s="1"/>
      <c r="BG88" s="1"/>
      <c r="BH88" s="1"/>
      <c r="BI88" s="1"/>
      <c r="BK88" s="1"/>
      <c r="BL88" s="1"/>
      <c r="BM88" s="1"/>
      <c r="BO88" s="1"/>
      <c r="BP88" s="1"/>
      <c r="BR88" s="1"/>
    </row>
    <row r="89" spans="1:70" x14ac:dyDescent="0.3">
      <c r="A89" s="6" t="s">
        <v>4</v>
      </c>
      <c r="B89" s="1"/>
      <c r="C89" s="1"/>
      <c r="D89" s="1"/>
      <c r="E89" s="13">
        <f>$T$20-U3-$AA$17*(1-AT16)</f>
        <v>-50.979999999999968</v>
      </c>
      <c r="F89" s="13">
        <f t="shared" ref="F89:J89" si="114">$T$20-V3-$AA$17*(1-AU16)</f>
        <v>-54.339999999999996</v>
      </c>
      <c r="G89" s="13">
        <f t="shared" si="114"/>
        <v>-55.8</v>
      </c>
      <c r="H89" s="13">
        <f t="shared" si="114"/>
        <v>-60.259999999999977</v>
      </c>
      <c r="I89" s="13">
        <f t="shared" si="114"/>
        <v>-2.2000000000000064</v>
      </c>
      <c r="J89" s="13">
        <f t="shared" si="114"/>
        <v>-10.700000000000024</v>
      </c>
      <c r="R89" s="6" t="s">
        <v>6</v>
      </c>
      <c r="S89" s="1"/>
      <c r="T89" s="1"/>
      <c r="U89" s="1"/>
      <c r="V89" s="1"/>
      <c r="W89" s="1">
        <f>V17-$U$4-$AA$17*(1-BA8)</f>
        <v>-0.88999999999999524</v>
      </c>
      <c r="X89" s="1">
        <f t="shared" ref="X89:AA89" si="115">W17-$U$4-$AA$17*(1-BB8)</f>
        <v>-58.83</v>
      </c>
      <c r="Y89" s="1">
        <f t="shared" si="115"/>
        <v>-56.450000000000017</v>
      </c>
      <c r="Z89" s="1">
        <f t="shared" si="115"/>
        <v>-52.909999999999982</v>
      </c>
      <c r="AA89" s="1">
        <f t="shared" si="115"/>
        <v>-42.279999999999966</v>
      </c>
      <c r="AD89" s="1"/>
      <c r="AE89" s="1"/>
      <c r="AF89" s="1"/>
      <c r="AG89" s="1"/>
      <c r="AH89" s="1"/>
      <c r="AI89" s="1"/>
      <c r="AJ89" s="1"/>
      <c r="AL89" s="1"/>
      <c r="AM89" s="1"/>
      <c r="AN89" s="1"/>
      <c r="AO89" s="1"/>
      <c r="AP89" s="1"/>
      <c r="AQ89" s="1"/>
      <c r="AR89" s="1"/>
      <c r="AT89" s="1"/>
      <c r="AU89" s="1"/>
      <c r="AV89" s="1"/>
      <c r="AW89" s="1"/>
      <c r="AX89" s="1"/>
      <c r="AY89" s="1"/>
      <c r="BA89" s="1"/>
      <c r="BB89" s="1"/>
      <c r="BC89" s="1"/>
      <c r="BD89" s="1"/>
      <c r="BE89" s="1"/>
      <c r="BG89" s="1"/>
      <c r="BH89" s="1"/>
      <c r="BI89" s="1"/>
      <c r="BK89" s="1"/>
      <c r="BL89" s="1"/>
      <c r="BM89" s="1"/>
      <c r="BO89" s="1"/>
      <c r="BP89" s="1"/>
      <c r="BR89" s="1"/>
    </row>
    <row r="90" spans="1:70" x14ac:dyDescent="0.3">
      <c r="A90" s="6" t="s">
        <v>6</v>
      </c>
      <c r="B90" s="1"/>
      <c r="C90" s="1"/>
      <c r="D90" s="1"/>
      <c r="E90" s="1"/>
      <c r="F90" s="13">
        <f>$U$20-V3-$AA$17*(1-BA16)</f>
        <v>-49.66999999999998</v>
      </c>
      <c r="G90" s="13">
        <f t="shared" ref="G90:I90" si="116">$U$20-W3-$AA$17*(1-BB16)</f>
        <v>-51.129999999999988</v>
      </c>
      <c r="H90" s="13">
        <f t="shared" si="116"/>
        <v>-55.589999999999961</v>
      </c>
      <c r="I90" s="13">
        <f t="shared" si="116"/>
        <v>-59.13</v>
      </c>
      <c r="J90" s="13">
        <f>$U$20-Z3-$AA$17*(1-BE16)</f>
        <v>-6.0300000000000118</v>
      </c>
      <c r="K90" s="29"/>
      <c r="R90" s="6" t="s">
        <v>8</v>
      </c>
      <c r="S90" s="1"/>
      <c r="T90" s="1"/>
      <c r="U90" s="1"/>
      <c r="V90" s="1"/>
      <c r="W90" s="1"/>
      <c r="X90" s="1"/>
      <c r="Y90" s="1">
        <f>X17-$V$4-$AA$17*(1-BG8)</f>
        <v>-59.460000000000043</v>
      </c>
      <c r="Z90" s="1">
        <f>Y17-$V$4-$AA$17*(1-BH8)</f>
        <v>-55.92</v>
      </c>
      <c r="AA90" s="1">
        <f>Z17-$V$4-$AA$17*(1-BI8)</f>
        <v>-45.289999999999985</v>
      </c>
      <c r="AD90" s="1"/>
      <c r="AE90" s="1"/>
      <c r="AF90" s="1"/>
      <c r="AG90" s="1"/>
      <c r="AH90" s="1"/>
      <c r="AI90" s="1"/>
      <c r="AJ90" s="1"/>
      <c r="AL90" s="1"/>
      <c r="AM90" s="1"/>
      <c r="AN90" s="1"/>
      <c r="AO90" s="1"/>
      <c r="AP90" s="1"/>
      <c r="AQ90" s="1"/>
      <c r="AR90" s="1"/>
      <c r="AT90" s="1"/>
      <c r="AU90" s="1"/>
      <c r="AV90" s="1"/>
      <c r="AW90" s="1"/>
      <c r="AX90" s="1"/>
      <c r="AY90" s="1"/>
      <c r="BA90" s="1"/>
      <c r="BB90" s="1"/>
      <c r="BC90" s="1"/>
      <c r="BD90" s="1"/>
      <c r="BE90" s="1"/>
      <c r="BG90" s="1"/>
      <c r="BH90" s="1"/>
      <c r="BI90" s="1"/>
      <c r="BK90" s="1"/>
      <c r="BL90" s="1"/>
      <c r="BM90" s="1"/>
      <c r="BO90" s="1"/>
      <c r="BP90" s="1"/>
      <c r="BR90" s="1"/>
    </row>
    <row r="91" spans="1:70" x14ac:dyDescent="0.3">
      <c r="A91" s="6" t="s">
        <v>8</v>
      </c>
      <c r="B91" s="1"/>
      <c r="C91" s="1"/>
      <c r="D91" s="1"/>
      <c r="E91" s="1"/>
      <c r="F91" s="1"/>
      <c r="G91" s="1"/>
      <c r="H91" s="13">
        <f>$V$20-X3-$AA$17*(1-BG16)</f>
        <v>-49.799999999999969</v>
      </c>
      <c r="I91" s="13">
        <f t="shared" ref="I91:J91" si="117">$V$20-Y3-$AA$17*(1-BH16)</f>
        <v>-53.34</v>
      </c>
      <c r="J91" s="13">
        <f t="shared" si="117"/>
        <v>-0.24000000000001265</v>
      </c>
      <c r="K91" s="29"/>
      <c r="R91" s="6" t="s">
        <v>9</v>
      </c>
      <c r="S91" s="1"/>
      <c r="T91" s="1"/>
      <c r="U91" s="1"/>
      <c r="V91" s="1"/>
      <c r="W91" s="1"/>
      <c r="X91" s="1"/>
      <c r="Y91" s="1">
        <f>X17-$W$4-$AA$17*(1-BK8)</f>
        <v>-1.2200000000000344</v>
      </c>
      <c r="Z91" s="1">
        <f>Y17-$W$4-$AA$17*(1-BL8)</f>
        <v>-59.28</v>
      </c>
      <c r="AA91" s="1">
        <f>Z17-$W$4-$AA$17*(1-BM8)</f>
        <v>-48.649999999999991</v>
      </c>
      <c r="AD91" s="1"/>
      <c r="AE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T91" s="1"/>
      <c r="AU91" s="1"/>
      <c r="AV91" s="1"/>
      <c r="AW91" s="1"/>
      <c r="AX91" s="1"/>
      <c r="AY91" s="1"/>
      <c r="BA91" s="1"/>
      <c r="BB91" s="1"/>
      <c r="BC91" s="1"/>
      <c r="BD91" s="1"/>
      <c r="BE91" s="1"/>
      <c r="BG91" s="1"/>
      <c r="BH91" s="1"/>
      <c r="BI91" s="1"/>
      <c r="BK91" s="1"/>
      <c r="BL91" s="1"/>
      <c r="BM91" s="1"/>
      <c r="BO91" s="1"/>
      <c r="BP91" s="1"/>
      <c r="BR91" s="1"/>
    </row>
    <row r="92" spans="1:70" x14ac:dyDescent="0.3">
      <c r="A92" s="6" t="s">
        <v>9</v>
      </c>
      <c r="B92" s="1"/>
      <c r="C92" s="1"/>
      <c r="D92" s="1"/>
      <c r="E92" s="1"/>
      <c r="F92" s="1"/>
      <c r="G92" s="1"/>
      <c r="H92" s="13">
        <f>$W$20-X3-$AA$17*(1-BK16)</f>
        <v>-46.089999999999932</v>
      </c>
      <c r="I92" s="13">
        <f t="shared" ref="I92:J92" si="118">$W$20-Y3-$AA$17*(1-BL16)</f>
        <v>-49.629999999999967</v>
      </c>
      <c r="J92" s="13">
        <f t="shared" si="118"/>
        <v>-58.129999999999988</v>
      </c>
      <c r="R92" s="6" t="s">
        <v>11</v>
      </c>
      <c r="S92" s="1"/>
      <c r="T92" s="1"/>
      <c r="U92" s="1"/>
      <c r="V92" s="1"/>
      <c r="W92" s="1"/>
      <c r="X92" s="1"/>
      <c r="Y92" s="1"/>
      <c r="Z92" s="1">
        <f>Y17-$X$4-$AA$17*(1-BO8)</f>
        <v>-4.6000000000000085</v>
      </c>
      <c r="AA92" s="1">
        <f>Z17-$X$4-$AA$17*(1-BP8)</f>
        <v>-55.57</v>
      </c>
      <c r="AD92" s="1"/>
      <c r="AE92" s="1"/>
      <c r="AF92" s="1"/>
      <c r="AG92" s="1"/>
      <c r="AH92" s="1"/>
      <c r="AI92" s="1"/>
      <c r="AJ92" s="1"/>
      <c r="AL92" s="1"/>
      <c r="AM92" s="1"/>
      <c r="AN92" s="1"/>
      <c r="AO92" s="1"/>
      <c r="AP92" s="1"/>
      <c r="AQ92" s="1"/>
      <c r="AR92" s="1"/>
      <c r="AT92" s="1"/>
      <c r="AU92" s="1"/>
      <c r="AV92" s="1"/>
      <c r="AW92" s="1"/>
      <c r="AX92" s="1"/>
      <c r="AY92" s="1"/>
      <c r="BA92" s="1"/>
      <c r="BB92" s="1"/>
      <c r="BC92" s="1"/>
      <c r="BD92" s="1"/>
      <c r="BE92" s="1"/>
      <c r="BG92" s="1"/>
      <c r="BH92" s="1"/>
      <c r="BI92" s="1"/>
      <c r="BK92" s="1"/>
      <c r="BL92" s="1"/>
      <c r="BM92" s="1"/>
      <c r="BO92" s="1"/>
      <c r="BP92" s="1"/>
      <c r="BR92" s="1"/>
    </row>
    <row r="93" spans="1:70" x14ac:dyDescent="0.3">
      <c r="A93" s="6" t="s">
        <v>11</v>
      </c>
      <c r="B93" s="1"/>
      <c r="C93" s="1"/>
      <c r="D93" s="1"/>
      <c r="E93" s="1"/>
      <c r="F93" s="1"/>
      <c r="G93" s="1"/>
      <c r="H93" s="1"/>
      <c r="I93" s="13">
        <f>$X$20-Y3-$AA$17*(1-BO16)</f>
        <v>-48.170000000000044</v>
      </c>
      <c r="J93" s="13">
        <f>$X$20-Z3-$AA$17*(1-BP16)</f>
        <v>-56.670000000000066</v>
      </c>
      <c r="Q93" s="5"/>
      <c r="R93" s="6" t="s">
        <v>13</v>
      </c>
      <c r="S93" s="1"/>
      <c r="T93" s="1"/>
      <c r="U93" s="1"/>
      <c r="V93" s="1"/>
      <c r="W93" s="1"/>
      <c r="X93" s="1"/>
      <c r="Y93" s="1"/>
      <c r="Z93" s="1"/>
      <c r="AA93" s="1">
        <f>Z17-$Y$4-$AA$17*(1-BR8)</f>
        <v>-58.009999999999948</v>
      </c>
      <c r="AD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T93" s="1"/>
      <c r="AU93" s="1"/>
      <c r="AV93" s="1"/>
      <c r="AW93" s="1"/>
      <c r="AX93" s="1"/>
      <c r="AY93" s="1"/>
      <c r="BA93" s="1"/>
      <c r="BB93" s="1"/>
      <c r="BC93" s="1"/>
      <c r="BD93" s="1"/>
      <c r="BE93" s="1"/>
      <c r="BG93" s="1"/>
      <c r="BH93" s="1"/>
      <c r="BI93" s="1"/>
      <c r="BK93" s="1"/>
      <c r="BL93" s="1"/>
      <c r="BM93" s="1"/>
      <c r="BO93" s="1"/>
      <c r="BP93" s="1"/>
      <c r="BR93" s="1"/>
    </row>
    <row r="94" spans="1:70" x14ac:dyDescent="0.3">
      <c r="A94" s="6" t="s">
        <v>13</v>
      </c>
      <c r="B94" s="1"/>
      <c r="C94" s="1"/>
      <c r="D94" s="1"/>
      <c r="E94" s="1"/>
      <c r="F94" s="1"/>
      <c r="G94" s="1"/>
      <c r="H94" s="1"/>
      <c r="I94" s="1"/>
      <c r="J94" s="13">
        <f>$Y$20-Z3-$AA$17*(1-BR16)</f>
        <v>-53.320000000000064</v>
      </c>
      <c r="R94" s="6" t="s">
        <v>15</v>
      </c>
      <c r="S94" s="1"/>
      <c r="T94" s="1"/>
      <c r="U94" s="1"/>
      <c r="V94" s="1"/>
      <c r="W94" s="1"/>
      <c r="X94" s="1"/>
      <c r="Y94" s="1"/>
      <c r="Z94" s="1"/>
      <c r="AA94" s="1"/>
      <c r="AD94" s="1"/>
      <c r="AE94" s="1"/>
      <c r="AF94" s="1"/>
      <c r="AG94" s="1"/>
      <c r="AH94" s="1"/>
      <c r="AI94" s="1"/>
      <c r="AJ94" s="1"/>
      <c r="AL94" s="1"/>
      <c r="AM94" s="1"/>
      <c r="AN94" s="1"/>
      <c r="AO94" s="1"/>
      <c r="AP94" s="1"/>
      <c r="AQ94" s="1"/>
      <c r="AR94" s="1"/>
      <c r="AT94" s="1"/>
      <c r="AU94" s="1"/>
      <c r="AV94" s="1"/>
      <c r="AW94" s="1"/>
      <c r="AX94" s="1"/>
      <c r="AY94" s="1"/>
      <c r="BA94" s="1"/>
      <c r="BB94" s="1"/>
      <c r="BC94" s="1"/>
      <c r="BD94" s="1"/>
      <c r="BE94" s="1"/>
      <c r="BG94" s="1"/>
      <c r="BH94" s="1"/>
      <c r="BI94" s="1"/>
      <c r="BK94" s="1"/>
      <c r="BL94" s="1"/>
      <c r="BM94" s="1"/>
      <c r="BO94" s="1"/>
      <c r="BP94" s="1"/>
      <c r="BR94" s="1"/>
    </row>
    <row r="95" spans="1:70" x14ac:dyDescent="0.3">
      <c r="A95" s="6" t="s">
        <v>15</v>
      </c>
      <c r="B95" s="1"/>
      <c r="C95" s="1"/>
      <c r="D95" s="1"/>
      <c r="E95" s="1"/>
      <c r="F95" s="1"/>
      <c r="G95" s="1"/>
      <c r="H95" s="1"/>
      <c r="I95" s="1"/>
      <c r="J95" s="1"/>
      <c r="AD95" s="1"/>
      <c r="AE95" s="1"/>
      <c r="AF95" s="1"/>
      <c r="AG95" s="1"/>
      <c r="AH95" s="1"/>
      <c r="AI95" s="1"/>
      <c r="AJ95" s="1"/>
      <c r="AL95" s="1"/>
      <c r="AM95" s="1"/>
      <c r="AN95" s="1"/>
      <c r="AO95" s="1"/>
      <c r="AP95" s="1"/>
      <c r="AQ95" s="1"/>
      <c r="AR95" s="1"/>
      <c r="AT95" s="1"/>
      <c r="AU95" s="1"/>
      <c r="AV95" s="1"/>
      <c r="AW95" s="1"/>
      <c r="AX95" s="1"/>
      <c r="AY95" s="1"/>
      <c r="BA95" s="1"/>
      <c r="BB95" s="1"/>
      <c r="BC95" s="1"/>
      <c r="BD95" s="1"/>
      <c r="BE95" s="1"/>
      <c r="BG95" s="1"/>
      <c r="BH95" s="1"/>
      <c r="BI95" s="1"/>
      <c r="BK95" s="1"/>
      <c r="BL95" s="1"/>
      <c r="BM95" s="1"/>
      <c r="BO95" s="1"/>
      <c r="BP95" s="1"/>
      <c r="BR95" s="1"/>
    </row>
    <row r="96" spans="1:70" x14ac:dyDescent="0.3">
      <c r="Q96" t="s">
        <v>54</v>
      </c>
      <c r="R96" t="s">
        <v>40</v>
      </c>
      <c r="AD96" s="1"/>
      <c r="AE96" s="1"/>
      <c r="AF96" s="1"/>
      <c r="AG96" s="1"/>
      <c r="AH96" s="1"/>
      <c r="AI96" s="1"/>
      <c r="AJ96" s="1"/>
      <c r="AL96" s="1"/>
      <c r="AM96" s="1"/>
      <c r="AN96" s="1"/>
      <c r="AO96" s="1"/>
      <c r="AP96" s="1"/>
      <c r="AQ96" s="1"/>
      <c r="AR96" s="1"/>
      <c r="AT96" s="1"/>
      <c r="AU96" s="1"/>
      <c r="AV96" s="1"/>
      <c r="AW96" s="1"/>
      <c r="AX96" s="1"/>
      <c r="AY96" s="1"/>
      <c r="BA96" s="1"/>
      <c r="BB96" s="1"/>
      <c r="BC96" s="1"/>
      <c r="BD96" s="1"/>
      <c r="BE96" s="1"/>
      <c r="BG96" s="1"/>
      <c r="BH96" s="1"/>
      <c r="BI96" s="1"/>
      <c r="BK96" s="1"/>
      <c r="BL96" s="1"/>
      <c r="BM96" s="1"/>
      <c r="BO96" s="1"/>
      <c r="BP96" s="1"/>
      <c r="BR96" s="1"/>
    </row>
    <row r="97" spans="1:70" x14ac:dyDescent="0.3">
      <c r="A97" t="s">
        <v>75</v>
      </c>
      <c r="R97" s="1"/>
      <c r="S97" s="6" t="s">
        <v>1</v>
      </c>
      <c r="T97" s="6" t="s">
        <v>2</v>
      </c>
      <c r="U97" s="6" t="s">
        <v>4</v>
      </c>
      <c r="V97" s="6" t="s">
        <v>6</v>
      </c>
      <c r="W97" s="6" t="s">
        <v>8</v>
      </c>
      <c r="X97" s="6" t="s">
        <v>9</v>
      </c>
      <c r="Y97" s="6" t="s">
        <v>11</v>
      </c>
      <c r="Z97" s="6" t="s">
        <v>13</v>
      </c>
      <c r="AA97" s="6" t="s">
        <v>15</v>
      </c>
      <c r="AD97" s="1"/>
      <c r="AE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R97" s="1"/>
      <c r="AT97" s="1"/>
      <c r="AU97" s="1"/>
      <c r="AV97" s="1"/>
      <c r="AW97" s="1"/>
      <c r="AX97" s="1"/>
      <c r="AY97" s="1"/>
      <c r="BA97" s="1"/>
      <c r="BB97" s="1"/>
      <c r="BC97" s="1"/>
      <c r="BD97" s="1"/>
      <c r="BE97" s="1"/>
      <c r="BG97" s="1"/>
      <c r="BH97" s="1"/>
      <c r="BI97" s="1"/>
      <c r="BK97" s="1"/>
      <c r="BL97" s="1"/>
      <c r="BM97" s="1"/>
      <c r="BO97" s="1"/>
      <c r="BP97" s="1"/>
      <c r="BR97" s="1"/>
    </row>
    <row r="98" spans="1:70" x14ac:dyDescent="0.3">
      <c r="A98" s="1"/>
      <c r="B98" s="6" t="s">
        <v>1</v>
      </c>
      <c r="C98" s="6" t="s">
        <v>2</v>
      </c>
      <c r="D98" s="6" t="s">
        <v>4</v>
      </c>
      <c r="E98" s="6" t="s">
        <v>6</v>
      </c>
      <c r="F98" s="6" t="s">
        <v>8</v>
      </c>
      <c r="G98" s="6" t="s">
        <v>9</v>
      </c>
      <c r="H98" s="6" t="s">
        <v>11</v>
      </c>
      <c r="I98" s="6" t="s">
        <v>13</v>
      </c>
      <c r="J98" s="6" t="s">
        <v>15</v>
      </c>
      <c r="R98" s="6" t="s">
        <v>1</v>
      </c>
      <c r="S98" s="1"/>
      <c r="T98" s="1"/>
      <c r="U98" s="1">
        <f>$R$19-T2-$AA$17*(1-AD9)</f>
        <v>-55.89</v>
      </c>
      <c r="V98" s="1">
        <f t="shared" ref="V98:Z98" si="119">$R$19-U2-$AA$17*(1-AE9)</f>
        <v>-56.9</v>
      </c>
      <c r="W98" s="1">
        <f t="shared" si="119"/>
        <v>-59.02</v>
      </c>
      <c r="X98" s="1">
        <f t="shared" si="119"/>
        <v>-0.11999999999999211</v>
      </c>
      <c r="Y98" s="1">
        <f t="shared" si="119"/>
        <v>-2.8900000000000095</v>
      </c>
      <c r="Z98" s="1">
        <f t="shared" si="119"/>
        <v>-5.3300000000000214</v>
      </c>
      <c r="AA98" s="1">
        <f>$R$19-Z2-$AA$17*(1-AJ9)</f>
        <v>-13.48000000000004</v>
      </c>
      <c r="AD98" s="1"/>
      <c r="AE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R98" s="1"/>
      <c r="AT98" s="1"/>
      <c r="AU98" s="1"/>
      <c r="AV98" s="1"/>
      <c r="AW98" s="1"/>
      <c r="AX98" s="1"/>
      <c r="AY98" s="1"/>
      <c r="BA98" s="1"/>
      <c r="BB98" s="1"/>
      <c r="BC98" s="1"/>
      <c r="BD98" s="1"/>
      <c r="BE98" s="1"/>
      <c r="BG98" s="1"/>
      <c r="BH98" s="1"/>
      <c r="BI98" s="1"/>
      <c r="BK98" s="1"/>
      <c r="BL98" s="1"/>
      <c r="BM98" s="1"/>
      <c r="BO98" s="1"/>
      <c r="BP98" s="1"/>
      <c r="BR98" s="1"/>
    </row>
    <row r="99" spans="1:70" x14ac:dyDescent="0.3">
      <c r="A99" s="6" t="s">
        <v>1</v>
      </c>
      <c r="B99" s="1"/>
      <c r="C99" s="1"/>
      <c r="D99" s="13">
        <f>$R$20-T4-$AA$17*(1-AD17)</f>
        <v>-58.709999999999994</v>
      </c>
      <c r="E99" s="13">
        <f t="shared" ref="E99:I99" si="120">$R$20-U4-$AA$17*(1-AE17)</f>
        <v>-61.15</v>
      </c>
      <c r="F99" s="13">
        <f t="shared" si="120"/>
        <v>-2.5600000000000129</v>
      </c>
      <c r="G99" s="13">
        <f t="shared" si="120"/>
        <v>-5.9200000000000141</v>
      </c>
      <c r="H99" s="13">
        <f t="shared" si="120"/>
        <v>-12.840000000000027</v>
      </c>
      <c r="I99" s="13">
        <f t="shared" si="120"/>
        <v>-15.279999999999978</v>
      </c>
      <c r="J99" s="13">
        <f>$R$20-Z4-$AA$17*(1-AJ17)</f>
        <v>-22.52999999999998</v>
      </c>
      <c r="R99" s="6" t="s">
        <v>2</v>
      </c>
      <c r="S99" s="1"/>
      <c r="T99" s="1"/>
      <c r="U99" s="1">
        <f>$S$19-T2-$AA$17*(1-AL9)</f>
        <v>-53.45</v>
      </c>
      <c r="V99" s="1">
        <f t="shared" ref="V99:AA99" si="121">$S$19-U2-$AA$17*(1-AM9)</f>
        <v>-54.459999999999994</v>
      </c>
      <c r="W99" s="1">
        <f t="shared" si="121"/>
        <v>-56.58</v>
      </c>
      <c r="X99" s="1">
        <f t="shared" si="121"/>
        <v>-59.279999999999994</v>
      </c>
      <c r="Y99" s="1">
        <f t="shared" si="121"/>
        <v>-0.45000000000000462</v>
      </c>
      <c r="Z99" s="1">
        <f t="shared" si="121"/>
        <v>-2.8900000000000166</v>
      </c>
      <c r="AA99" s="1">
        <f t="shared" si="121"/>
        <v>-11.040000000000035</v>
      </c>
      <c r="AD99" s="1"/>
      <c r="AE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R99" s="1"/>
      <c r="AT99" s="1"/>
      <c r="AU99" s="1"/>
      <c r="AV99" s="1"/>
      <c r="AW99" s="1"/>
      <c r="AX99" s="1"/>
      <c r="AY99" s="1"/>
      <c r="BA99" s="1"/>
      <c r="BB99" s="1"/>
      <c r="BC99" s="1"/>
      <c r="BD99" s="1"/>
      <c r="BE99" s="1"/>
      <c r="BG99" s="1"/>
      <c r="BH99" s="1"/>
      <c r="BI99" s="1"/>
      <c r="BK99" s="1"/>
      <c r="BL99" s="1"/>
      <c r="BM99" s="1"/>
      <c r="BO99" s="1"/>
      <c r="BP99" s="1"/>
      <c r="BR99" s="1"/>
    </row>
    <row r="100" spans="1:70" x14ac:dyDescent="0.3">
      <c r="A100" s="6" t="s">
        <v>2</v>
      </c>
      <c r="B100" s="1"/>
      <c r="C100" s="1"/>
      <c r="D100" s="13">
        <f>$S$20-T4-$AA$17*(1-AL17)</f>
        <v>-54.249999999999979</v>
      </c>
      <c r="E100" s="13">
        <f t="shared" ref="E100:J100" si="122">$S$20-U4-$AA$17*(1-AM17)</f>
        <v>-56.689999999999984</v>
      </c>
      <c r="F100" s="13">
        <f t="shared" si="122"/>
        <v>-59.70000000000001</v>
      </c>
      <c r="G100" s="13">
        <f t="shared" si="122"/>
        <v>-1.4600000000000009</v>
      </c>
      <c r="H100" s="13">
        <f t="shared" si="122"/>
        <v>-8.3800000000000132</v>
      </c>
      <c r="I100" s="13">
        <f t="shared" si="122"/>
        <v>-10.819999999999965</v>
      </c>
      <c r="J100" s="13">
        <f t="shared" si="122"/>
        <v>-18.069999999999968</v>
      </c>
      <c r="R100" s="6" t="s">
        <v>4</v>
      </c>
      <c r="S100" s="1"/>
      <c r="T100" s="1"/>
      <c r="U100" s="1"/>
      <c r="V100" s="1">
        <f>$T$19-U2-$AA$17*(1-AT9)</f>
        <v>-51.569999999999979</v>
      </c>
      <c r="W100" s="1">
        <f t="shared" ref="W100:AA100" si="123">$T$19-V2-$AA$17*(1-AU9)</f>
        <v>-53.689999999999984</v>
      </c>
      <c r="X100" s="1">
        <f t="shared" si="123"/>
        <v>-56.389999999999986</v>
      </c>
      <c r="Y100" s="1">
        <f t="shared" si="123"/>
        <v>-59.160000000000004</v>
      </c>
      <c r="Z100" s="1">
        <f t="shared" si="123"/>
        <v>-5.3290705182007514E-15</v>
      </c>
      <c r="AA100" s="1">
        <f t="shared" si="123"/>
        <v>-8.1500000000000234</v>
      </c>
      <c r="AD100" s="1"/>
      <c r="AE100" s="1"/>
      <c r="AF100" s="1"/>
      <c r="AG100" s="1"/>
      <c r="AH100" s="1"/>
      <c r="AI100" s="1"/>
      <c r="AJ100" s="1"/>
      <c r="AL100" s="1"/>
      <c r="AM100" s="1"/>
      <c r="AN100" s="1"/>
      <c r="AO100" s="1"/>
      <c r="AP100" s="1"/>
      <c r="AQ100" s="1"/>
      <c r="AR100" s="1"/>
      <c r="AT100" s="1"/>
      <c r="AU100" s="1"/>
      <c r="AV100" s="1"/>
      <c r="AW100" s="1"/>
      <c r="AX100" s="1"/>
      <c r="AY100" s="1"/>
      <c r="BA100" s="1"/>
      <c r="BB100" s="1"/>
      <c r="BC100" s="1"/>
      <c r="BD100" s="1"/>
      <c r="BE100" s="1"/>
      <c r="BG100" s="1"/>
      <c r="BH100" s="1"/>
      <c r="BI100" s="1"/>
      <c r="BK100" s="1"/>
      <c r="BL100" s="1"/>
      <c r="BM100" s="1"/>
      <c r="BO100" s="1"/>
      <c r="BP100" s="1"/>
      <c r="BR100" s="1"/>
    </row>
    <row r="101" spans="1:70" x14ac:dyDescent="0.3">
      <c r="A101" s="6" t="s">
        <v>4</v>
      </c>
      <c r="B101" s="1"/>
      <c r="C101" s="1"/>
      <c r="D101" s="1"/>
      <c r="E101" s="13">
        <f>$T$20-U4-$AA$17*(1-AT17)</f>
        <v>-55.22999999999999</v>
      </c>
      <c r="F101" s="13">
        <f t="shared" ref="F101:J101" si="124">$T$20-V4-$AA$17*(1-AU17)</f>
        <v>-58.240000000000009</v>
      </c>
      <c r="G101" s="13">
        <f t="shared" si="124"/>
        <v>-3.5527136788005009E-15</v>
      </c>
      <c r="H101" s="13">
        <f t="shared" si="124"/>
        <v>-6.9200000000000159</v>
      </c>
      <c r="I101" s="13">
        <f t="shared" si="124"/>
        <v>-9.3599999999999675</v>
      </c>
      <c r="J101" s="13">
        <f t="shared" si="124"/>
        <v>-16.609999999999971</v>
      </c>
      <c r="R101" s="6" t="s">
        <v>6</v>
      </c>
      <c r="S101" s="1"/>
      <c r="T101" s="1"/>
      <c r="U101" s="1"/>
      <c r="V101" s="1"/>
      <c r="W101" s="1">
        <f>$U$19-V2-$AA$17*(1-BA9)</f>
        <v>-51.549999999999976</v>
      </c>
      <c r="X101" s="1">
        <f t="shared" ref="X101:AA101" si="125">$U$19-W2-$AA$17*(1-BB9)</f>
        <v>-54.249999999999979</v>
      </c>
      <c r="Y101" s="1">
        <f t="shared" si="125"/>
        <v>-57.019999999999996</v>
      </c>
      <c r="Z101" s="1">
        <f t="shared" si="125"/>
        <v>-59.460000000000008</v>
      </c>
      <c r="AA101" s="1">
        <f t="shared" si="125"/>
        <v>-6.0100000000000158</v>
      </c>
      <c r="AD101" s="1"/>
      <c r="AE101" s="1"/>
      <c r="AF101" s="1"/>
      <c r="AG101" s="1"/>
      <c r="AH101" s="1"/>
      <c r="AI101" s="1"/>
      <c r="AJ101" s="1"/>
      <c r="AL101" s="1"/>
      <c r="AM101" s="1"/>
      <c r="AN101" s="1"/>
      <c r="AO101" s="1"/>
      <c r="AP101" s="1"/>
      <c r="AQ101" s="1"/>
      <c r="AR101" s="1"/>
      <c r="AT101" s="1"/>
      <c r="AU101" s="1"/>
      <c r="AV101" s="1"/>
      <c r="AW101" s="1"/>
      <c r="AX101" s="1"/>
      <c r="AY101" s="1"/>
      <c r="BA101" s="1"/>
      <c r="BB101" s="1"/>
      <c r="BC101" s="1"/>
      <c r="BD101" s="1"/>
      <c r="BE101" s="1"/>
      <c r="BG101" s="1"/>
      <c r="BH101" s="1"/>
      <c r="BI101" s="1"/>
      <c r="BK101" s="1"/>
      <c r="BL101" s="1"/>
      <c r="BM101" s="1"/>
      <c r="BO101" s="1"/>
      <c r="BP101" s="1"/>
      <c r="BR101" s="1"/>
    </row>
    <row r="102" spans="1:70" x14ac:dyDescent="0.3">
      <c r="A102" s="6" t="s">
        <v>6</v>
      </c>
      <c r="B102" s="1"/>
      <c r="C102" s="1"/>
      <c r="D102" s="1"/>
      <c r="E102" s="1"/>
      <c r="F102" s="13">
        <f>$U$20-V4-$AA$17*(1-BA17)</f>
        <v>-53.57</v>
      </c>
      <c r="G102" s="13">
        <f t="shared" ref="G102:J102" si="126">$U$20-W4-$AA$17*(1-BB17)</f>
        <v>-56.93</v>
      </c>
      <c r="H102" s="13">
        <f t="shared" si="126"/>
        <v>-2.2500000000000036</v>
      </c>
      <c r="I102" s="13">
        <f t="shared" si="126"/>
        <v>-4.6899999999999551</v>
      </c>
      <c r="J102" s="13">
        <f t="shared" si="126"/>
        <v>-11.939999999999959</v>
      </c>
      <c r="R102" s="6" t="s">
        <v>8</v>
      </c>
      <c r="S102" s="1"/>
      <c r="T102" s="1"/>
      <c r="U102" s="1"/>
      <c r="V102" s="1"/>
      <c r="W102" s="1"/>
      <c r="X102" s="1"/>
      <c r="Y102" s="1">
        <f>$V$19-X2-$AA$17*(1-BG9)</f>
        <v>-53.359999999999985</v>
      </c>
      <c r="Z102" s="1">
        <f t="shared" ref="Z102:AA102" si="127">$V$19-Y2-$AA$17*(1-BH9)</f>
        <v>-55.8</v>
      </c>
      <c r="AA102" s="1">
        <f t="shared" si="127"/>
        <v>-2.350000000000005</v>
      </c>
      <c r="AD102" s="1"/>
      <c r="AE102" s="1"/>
      <c r="AF102" s="1"/>
      <c r="AG102" s="1"/>
      <c r="AH102" s="1"/>
      <c r="AI102" s="1"/>
      <c r="AJ102" s="1"/>
      <c r="AL102" s="1"/>
      <c r="AM102" s="1"/>
      <c r="AN102" s="1"/>
      <c r="AO102" s="1"/>
      <c r="AP102" s="1"/>
      <c r="AQ102" s="1"/>
      <c r="AR102" s="1"/>
      <c r="AT102" s="1"/>
      <c r="AU102" s="1"/>
      <c r="AV102" s="1"/>
      <c r="AW102" s="1"/>
      <c r="AX102" s="1"/>
      <c r="AY102" s="1"/>
      <c r="BA102" s="1"/>
      <c r="BB102" s="1"/>
      <c r="BC102" s="1"/>
      <c r="BD102" s="1"/>
      <c r="BE102" s="1"/>
      <c r="BG102" s="1"/>
      <c r="BH102" s="1"/>
      <c r="BI102" s="1"/>
      <c r="BK102" s="1"/>
      <c r="BL102" s="1"/>
      <c r="BM102" s="1"/>
      <c r="BO102" s="1"/>
      <c r="BP102" s="1"/>
      <c r="BR102" s="1"/>
    </row>
    <row r="103" spans="1:70" x14ac:dyDescent="0.3">
      <c r="A103" s="6" t="s">
        <v>8</v>
      </c>
      <c r="B103" s="1"/>
      <c r="C103" s="1"/>
      <c r="D103" s="1"/>
      <c r="E103" s="1"/>
      <c r="F103" s="1"/>
      <c r="G103" s="1"/>
      <c r="H103" s="13">
        <f>$V$20-X4-$AA$17*(1-BG17)</f>
        <v>-58.060000000000016</v>
      </c>
      <c r="I103" s="13">
        <f t="shared" ref="I103:J103" si="128">$V$20-Y4-$AA$17*(1-BH17)</f>
        <v>-60.499999999999964</v>
      </c>
      <c r="J103" s="13">
        <f t="shared" si="128"/>
        <v>-6.1499999999999595</v>
      </c>
      <c r="R103" s="6" t="s">
        <v>9</v>
      </c>
      <c r="S103" s="1"/>
      <c r="T103" s="1"/>
      <c r="U103" s="1"/>
      <c r="V103" s="1"/>
      <c r="W103" s="1"/>
      <c r="X103" s="1"/>
      <c r="Y103" s="1">
        <f>$W$19-X2-$AA$17*(1-BK9)</f>
        <v>-46.439999999999976</v>
      </c>
      <c r="Z103" s="1">
        <f t="shared" ref="Z103:AA103" si="129">$W$19-Y2-$AA$17*(1-BL9)</f>
        <v>-48.879999999999988</v>
      </c>
      <c r="AA103" s="1">
        <f t="shared" si="129"/>
        <v>-57.03</v>
      </c>
      <c r="AD103" s="1"/>
      <c r="AE103" s="1"/>
      <c r="AF103" s="1"/>
      <c r="AG103" s="1"/>
      <c r="AH103" s="1"/>
      <c r="AI103" s="1"/>
      <c r="AJ103" s="1"/>
      <c r="AL103" s="1"/>
      <c r="AM103" s="1"/>
      <c r="AN103" s="1"/>
      <c r="AO103" s="1"/>
      <c r="AP103" s="1"/>
      <c r="AQ103" s="1"/>
      <c r="AR103" s="1"/>
      <c r="AT103" s="1"/>
      <c r="AU103" s="1"/>
      <c r="AV103" s="1"/>
      <c r="AW103" s="1"/>
      <c r="AX103" s="1"/>
      <c r="AY103" s="1"/>
      <c r="BA103" s="1"/>
      <c r="BB103" s="1"/>
      <c r="BC103" s="1"/>
      <c r="BD103" s="1"/>
      <c r="BE103" s="1"/>
      <c r="BG103" s="1"/>
      <c r="BH103" s="1"/>
      <c r="BI103" s="1"/>
      <c r="BK103" s="1"/>
      <c r="BL103" s="1"/>
      <c r="BM103" s="1"/>
      <c r="BO103" s="1"/>
      <c r="BP103" s="1"/>
      <c r="BR103" s="1"/>
    </row>
    <row r="104" spans="1:70" x14ac:dyDescent="0.3">
      <c r="A104" s="6" t="s">
        <v>9</v>
      </c>
      <c r="B104" s="1"/>
      <c r="C104" s="1"/>
      <c r="D104" s="1"/>
      <c r="E104" s="1"/>
      <c r="F104" s="1"/>
      <c r="G104" s="1"/>
      <c r="H104" s="13">
        <f>$W$20-X4-$AA$17*(1-BK17)</f>
        <v>-54.34999999999998</v>
      </c>
      <c r="I104" s="13">
        <f t="shared" ref="I104:J104" si="130">$W$20-Y4-$AA$17*(1-BL17)</f>
        <v>-56.789999999999935</v>
      </c>
      <c r="J104" s="13">
        <f t="shared" si="130"/>
        <v>-2.4399999999999267</v>
      </c>
      <c r="Q104" s="5"/>
      <c r="R104" s="6" t="s">
        <v>11</v>
      </c>
      <c r="S104" s="1"/>
      <c r="T104" s="1"/>
      <c r="U104" s="1"/>
      <c r="V104" s="1"/>
      <c r="W104" s="1"/>
      <c r="X104" s="1"/>
      <c r="Y104" s="1"/>
      <c r="Z104" s="1">
        <f>$X$19-Y2-$AA$17*(1-BO9)</f>
        <v>-47.419999999999987</v>
      </c>
      <c r="AA104" s="1">
        <f>$X$19-Z2-$AA$17*(1-BP9)</f>
        <v>-55.570000000000007</v>
      </c>
      <c r="AD104" s="1"/>
      <c r="AE104" s="1"/>
      <c r="AF104" s="1"/>
      <c r="AG104" s="1"/>
      <c r="AH104" s="1"/>
      <c r="AI104" s="1"/>
      <c r="AJ104" s="1"/>
      <c r="AL104" s="1"/>
      <c r="AM104" s="1"/>
      <c r="AN104" s="1"/>
      <c r="AO104" s="1"/>
      <c r="AP104" s="1"/>
      <c r="AQ104" s="1"/>
      <c r="AR104" s="1"/>
      <c r="AT104" s="1"/>
      <c r="AU104" s="1"/>
      <c r="AV104" s="1"/>
      <c r="AW104" s="1"/>
      <c r="AX104" s="1"/>
      <c r="AY104" s="1"/>
      <c r="BA104" s="1"/>
      <c r="BB104" s="1"/>
      <c r="BC104" s="1"/>
      <c r="BD104" s="1"/>
      <c r="BE104" s="1"/>
      <c r="BG104" s="1"/>
      <c r="BH104" s="1"/>
      <c r="BI104" s="1"/>
      <c r="BK104" s="1"/>
      <c r="BL104" s="1"/>
      <c r="BM104" s="1"/>
      <c r="BO104" s="1"/>
      <c r="BP104" s="1"/>
      <c r="BR104" s="1"/>
    </row>
    <row r="105" spans="1:70" x14ac:dyDescent="0.3">
      <c r="A105" s="6" t="s">
        <v>11</v>
      </c>
      <c r="B105" s="1"/>
      <c r="C105" s="1"/>
      <c r="D105" s="1"/>
      <c r="E105" s="1"/>
      <c r="F105" s="1"/>
      <c r="G105" s="1"/>
      <c r="H105" s="1"/>
      <c r="I105" s="13">
        <f>$X$20-Y4-$AA$17*(1-BO17)</f>
        <v>-55.330000000000013</v>
      </c>
      <c r="J105" s="13">
        <f>$X$20-Z4-$AA$17*(1-BP17)</f>
        <v>-0.98000000000000398</v>
      </c>
      <c r="R105" s="6" t="s">
        <v>13</v>
      </c>
      <c r="S105" s="1"/>
      <c r="T105" s="1"/>
      <c r="U105" s="1"/>
      <c r="V105" s="1"/>
      <c r="W105" s="1"/>
      <c r="X105" s="1"/>
      <c r="Y105" s="1"/>
      <c r="Z105" s="1"/>
      <c r="AA105" s="1">
        <f>$Y$19-Z2-$AA$17*(1-BR9)</f>
        <v>-51.979999999999983</v>
      </c>
      <c r="AD105" s="1"/>
      <c r="AE105" s="1"/>
      <c r="AF105" s="1"/>
      <c r="AG105" s="1"/>
      <c r="AH105" s="1"/>
      <c r="AI105" s="1"/>
      <c r="AJ105" s="1"/>
      <c r="AL105" s="1"/>
      <c r="AM105" s="1"/>
      <c r="AN105" s="1"/>
      <c r="AO105" s="1"/>
      <c r="AP105" s="1"/>
      <c r="AQ105" s="1"/>
      <c r="AR105" s="1"/>
      <c r="AT105" s="1"/>
      <c r="AU105" s="1"/>
      <c r="AV105" s="1"/>
      <c r="AW105" s="1"/>
      <c r="AX105" s="1"/>
      <c r="AY105" s="1"/>
      <c r="BA105" s="1"/>
      <c r="BB105" s="1"/>
      <c r="BC105" s="1"/>
      <c r="BD105" s="1"/>
      <c r="BE105" s="1"/>
      <c r="BG105" s="1"/>
      <c r="BH105" s="1"/>
      <c r="BI105" s="1"/>
      <c r="BK105" s="1"/>
      <c r="BL105" s="1"/>
      <c r="BM105" s="1"/>
      <c r="BO105" s="1"/>
      <c r="BP105" s="1"/>
      <c r="BR105" s="1"/>
    </row>
    <row r="106" spans="1:70" x14ac:dyDescent="0.3">
      <c r="A106" s="6" t="s">
        <v>13</v>
      </c>
      <c r="B106" s="1"/>
      <c r="C106" s="1"/>
      <c r="D106" s="1"/>
      <c r="E106" s="1"/>
      <c r="F106" s="1"/>
      <c r="G106" s="1"/>
      <c r="H106" s="1"/>
      <c r="I106" s="1"/>
      <c r="J106" s="13">
        <f>$Y$20-Z4-$AA$17*(1-BR17)</f>
        <v>-59.230000000000011</v>
      </c>
      <c r="R106" s="6" t="s">
        <v>15</v>
      </c>
      <c r="S106" s="1"/>
      <c r="T106" s="1"/>
      <c r="U106" s="1"/>
      <c r="V106" s="1"/>
      <c r="W106" s="1"/>
      <c r="X106" s="1"/>
      <c r="Y106" s="1"/>
      <c r="Z106" s="1"/>
      <c r="AA106" s="1"/>
      <c r="AD106" s="1"/>
      <c r="AE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BA106" s="1"/>
      <c r="BB106" s="1"/>
      <c r="BC106" s="1"/>
      <c r="BD106" s="1"/>
      <c r="BE106" s="1"/>
      <c r="BG106" s="1"/>
      <c r="BH106" s="1"/>
      <c r="BI106" s="1"/>
      <c r="BK106" s="1"/>
      <c r="BL106" s="1"/>
      <c r="BM106" s="1"/>
      <c r="BO106" s="1"/>
      <c r="BP106" s="1"/>
      <c r="BR106" s="1"/>
    </row>
    <row r="107" spans="1:70" x14ac:dyDescent="0.3">
      <c r="A107" s="6" t="s">
        <v>15</v>
      </c>
      <c r="B107" s="1"/>
      <c r="C107" s="1"/>
      <c r="D107" s="1"/>
      <c r="E107" s="1"/>
      <c r="F107" s="1"/>
      <c r="G107" s="1"/>
      <c r="H107" s="1"/>
      <c r="I107" s="1"/>
      <c r="J107" s="1"/>
      <c r="AD107" s="1"/>
      <c r="AE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R107" s="1"/>
      <c r="AT107" s="1"/>
      <c r="AU107" s="1"/>
      <c r="AV107" s="1"/>
      <c r="AW107" s="1"/>
      <c r="AX107" s="1"/>
      <c r="AY107" s="1"/>
      <c r="BA107" s="1"/>
      <c r="BB107" s="1"/>
      <c r="BC107" s="1"/>
      <c r="BD107" s="1"/>
      <c r="BE107" s="1"/>
      <c r="BG107" s="1"/>
      <c r="BH107" s="1"/>
      <c r="BI107" s="1"/>
      <c r="BK107" s="1"/>
      <c r="BL107" s="1"/>
      <c r="BM107" s="1"/>
      <c r="BO107" s="1"/>
      <c r="BP107" s="1"/>
      <c r="BR107" s="1"/>
    </row>
    <row r="108" spans="1:70" x14ac:dyDescent="0.3">
      <c r="R108" t="s">
        <v>43</v>
      </c>
      <c r="AD108" s="1"/>
      <c r="AE108" s="1"/>
      <c r="AF108" s="1"/>
      <c r="AG108" s="1"/>
      <c r="AH108" s="1"/>
      <c r="AI108" s="1"/>
      <c r="AJ108" s="1"/>
      <c r="AL108" s="1"/>
      <c r="AM108" s="1"/>
      <c r="AN108" s="1"/>
      <c r="AO108" s="1"/>
      <c r="AP108" s="1"/>
      <c r="AQ108" s="1"/>
      <c r="AR108" s="1"/>
      <c r="AT108" s="1"/>
      <c r="AU108" s="1"/>
      <c r="AV108" s="1"/>
      <c r="AW108" s="1"/>
      <c r="AX108" s="1"/>
      <c r="AY108" s="1"/>
      <c r="BA108" s="1"/>
      <c r="BB108" s="1"/>
      <c r="BC108" s="1"/>
      <c r="BD108" s="1"/>
      <c r="BE108" s="1"/>
      <c r="BG108" s="1"/>
      <c r="BH108" s="1"/>
      <c r="BI108" s="1"/>
      <c r="BK108" s="1"/>
      <c r="BL108" s="1"/>
      <c r="BM108" s="1"/>
      <c r="BO108" s="1"/>
      <c r="BP108" s="1"/>
      <c r="BR108" s="1"/>
    </row>
    <row r="109" spans="1:70" x14ac:dyDescent="0.3">
      <c r="A109" t="s">
        <v>76</v>
      </c>
      <c r="R109" s="1"/>
      <c r="S109" s="6" t="s">
        <v>1</v>
      </c>
      <c r="T109" s="6" t="s">
        <v>2</v>
      </c>
      <c r="U109" s="6" t="s">
        <v>4</v>
      </c>
      <c r="V109" s="6" t="s">
        <v>6</v>
      </c>
      <c r="W109" s="6" t="s">
        <v>8</v>
      </c>
      <c r="X109" s="6" t="s">
        <v>9</v>
      </c>
      <c r="Y109" s="6" t="s">
        <v>11</v>
      </c>
      <c r="Z109" s="6" t="s">
        <v>13</v>
      </c>
      <c r="AA109" s="6" t="s">
        <v>15</v>
      </c>
      <c r="AD109" s="1"/>
      <c r="AE109" s="1"/>
      <c r="AF109" s="1"/>
      <c r="AG109" s="1"/>
      <c r="AH109" s="1"/>
      <c r="AI109" s="1"/>
      <c r="AJ109" s="1"/>
      <c r="AL109" s="1"/>
      <c r="AM109" s="1"/>
      <c r="AN109" s="1"/>
      <c r="AO109" s="1"/>
      <c r="AP109" s="1"/>
      <c r="AQ109" s="1"/>
      <c r="AR109" s="1"/>
      <c r="AT109" s="1"/>
      <c r="AU109" s="1"/>
      <c r="AV109" s="1"/>
      <c r="AW109" s="1"/>
      <c r="AX109" s="1"/>
      <c r="AY109" s="1"/>
      <c r="BA109" s="1"/>
      <c r="BB109" s="1"/>
      <c r="BC109" s="1"/>
      <c r="BD109" s="1"/>
      <c r="BE109" s="1"/>
      <c r="BG109" s="1"/>
      <c r="BH109" s="1"/>
      <c r="BI109" s="1"/>
      <c r="BK109" s="1"/>
      <c r="BL109" s="1"/>
      <c r="BM109" s="1"/>
      <c r="BO109" s="1"/>
      <c r="BP109" s="1"/>
      <c r="BR109" s="1"/>
    </row>
    <row r="110" spans="1:70" x14ac:dyDescent="0.3">
      <c r="A110" s="1"/>
      <c r="B110" s="6" t="s">
        <v>1</v>
      </c>
      <c r="C110" s="6" t="s">
        <v>2</v>
      </c>
      <c r="D110" s="6" t="s">
        <v>4</v>
      </c>
      <c r="E110" s="6" t="s">
        <v>6</v>
      </c>
      <c r="F110" s="6" t="s">
        <v>8</v>
      </c>
      <c r="G110" s="6" t="s">
        <v>9</v>
      </c>
      <c r="H110" s="6" t="s">
        <v>11</v>
      </c>
      <c r="I110" s="6" t="s">
        <v>13</v>
      </c>
      <c r="J110" s="6" t="s">
        <v>15</v>
      </c>
      <c r="R110" s="6" t="s">
        <v>1</v>
      </c>
      <c r="S110" s="1"/>
      <c r="T110" s="1"/>
      <c r="U110" s="1">
        <f>$R$19-T3-$AA$17*(1-AD10)</f>
        <v>-58.899999999999991</v>
      </c>
      <c r="V110" s="1">
        <f t="shared" ref="V110:Z110" si="131">$R$19-U3-$AA$17*(1-AE10)</f>
        <v>-59.789999999999992</v>
      </c>
      <c r="W110" s="1">
        <f t="shared" si="131"/>
        <v>-1.5500000000000096</v>
      </c>
      <c r="X110" s="1">
        <f t="shared" si="131"/>
        <v>-3.010000000000014</v>
      </c>
      <c r="Y110" s="1">
        <f t="shared" si="131"/>
        <v>-7.4699999999999918</v>
      </c>
      <c r="Z110" s="1">
        <f t="shared" si="131"/>
        <v>-11.01000000000003</v>
      </c>
      <c r="AA110" s="1">
        <f>$R$19-Z3-$AA$17*(1-AJ10)</f>
        <v>-19.510000000000048</v>
      </c>
      <c r="AD110" s="1"/>
      <c r="AE110" s="1"/>
      <c r="AF110" s="1"/>
      <c r="AG110" s="1"/>
      <c r="AH110" s="1"/>
      <c r="AI110" s="1"/>
      <c r="AJ110" s="1"/>
      <c r="AL110" s="1"/>
      <c r="AM110" s="1"/>
      <c r="AN110" s="1"/>
      <c r="AO110" s="1"/>
      <c r="AP110" s="1"/>
      <c r="AQ110" s="1"/>
      <c r="AR110" s="1"/>
      <c r="AT110" s="1"/>
      <c r="AU110" s="1"/>
      <c r="AV110" s="1"/>
      <c r="AW110" s="1"/>
      <c r="AX110" s="1"/>
      <c r="AY110" s="1"/>
      <c r="BA110" s="1"/>
      <c r="BB110" s="1"/>
      <c r="BC110" s="1"/>
      <c r="BD110" s="1"/>
      <c r="BE110" s="1"/>
      <c r="BG110" s="1"/>
      <c r="BH110" s="1"/>
      <c r="BI110" s="1"/>
      <c r="BK110" s="1"/>
      <c r="BL110" s="1"/>
      <c r="BM110" s="1"/>
      <c r="BO110" s="1"/>
      <c r="BP110" s="1"/>
      <c r="BR110" s="1"/>
    </row>
    <row r="111" spans="1:70" x14ac:dyDescent="0.3">
      <c r="A111" s="6" t="s">
        <v>1</v>
      </c>
      <c r="B111" s="1"/>
      <c r="C111" s="1"/>
      <c r="D111" s="13">
        <f>$R$20-T5-$AA$17*(1-AD18)</f>
        <v>-2.3200000000000038</v>
      </c>
      <c r="E111" s="13">
        <f t="shared" ref="E111:I111" si="132">$R$20-U5-$AA$17*(1-AE18)</f>
        <v>-4.4600000000000097</v>
      </c>
      <c r="F111" s="13">
        <f t="shared" si="132"/>
        <v>-8.2400000000000215</v>
      </c>
      <c r="G111" s="13">
        <f t="shared" si="132"/>
        <v>-12.960000000000031</v>
      </c>
      <c r="H111" s="13">
        <f t="shared" si="132"/>
        <v>-16.500000000000028</v>
      </c>
      <c r="I111" s="13">
        <f t="shared" si="132"/>
        <v>-20.090000000000053</v>
      </c>
      <c r="J111" s="13">
        <f>$R$20-Z5-$AA$17*(1-AJ18)</f>
        <v>-24.90000000000007</v>
      </c>
      <c r="R111" s="6" t="s">
        <v>2</v>
      </c>
      <c r="S111" s="1"/>
      <c r="T111" s="1"/>
      <c r="U111" s="1">
        <f>$S$19-T3-$AA$17*(1-AL10)</f>
        <v>-56.459999999999987</v>
      </c>
      <c r="V111" s="1">
        <f t="shared" ref="V111:AA111" si="133">$S$19-U3-$AA$17*(1-AM10)</f>
        <v>-57.349999999999987</v>
      </c>
      <c r="W111" s="1">
        <f t="shared" si="133"/>
        <v>-60.710000000000015</v>
      </c>
      <c r="X111" s="1">
        <f t="shared" si="133"/>
        <v>-0.57000000000000917</v>
      </c>
      <c r="Y111" s="1">
        <f t="shared" si="133"/>
        <v>-5.0299999999999869</v>
      </c>
      <c r="Z111" s="1">
        <f t="shared" si="133"/>
        <v>-8.5700000000000252</v>
      </c>
      <c r="AA111" s="1">
        <f t="shared" si="133"/>
        <v>-17.070000000000043</v>
      </c>
      <c r="AD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R111" s="1"/>
      <c r="AT111" s="1"/>
      <c r="AU111" s="1"/>
      <c r="AV111" s="1"/>
      <c r="AW111" s="1"/>
      <c r="AX111" s="1"/>
      <c r="AY111" s="1"/>
      <c r="BA111" s="1"/>
      <c r="BB111" s="1"/>
      <c r="BC111" s="1"/>
      <c r="BD111" s="1"/>
      <c r="BE111" s="1"/>
      <c r="BG111" s="1"/>
      <c r="BH111" s="1"/>
      <c r="BI111" s="1"/>
      <c r="BK111" s="1"/>
      <c r="BL111" s="1"/>
      <c r="BM111" s="1"/>
      <c r="BO111" s="1"/>
      <c r="BP111" s="1"/>
      <c r="BR111" s="1"/>
    </row>
    <row r="112" spans="1:70" x14ac:dyDescent="0.3">
      <c r="A112" s="6" t="s">
        <v>2</v>
      </c>
      <c r="B112" s="1"/>
      <c r="C112" s="1"/>
      <c r="D112" s="13">
        <f>$S$20-T5-$AA$17*(1-AL18)</f>
        <v>-59.46</v>
      </c>
      <c r="E112" s="13">
        <f t="shared" ref="E112:J112" si="134">$S$20-U5-$AA$17*(1-AM18)</f>
        <v>3.5527136788005009E-15</v>
      </c>
      <c r="F112" s="13">
        <f t="shared" si="134"/>
        <v>-3.7800000000000082</v>
      </c>
      <c r="G112" s="13">
        <f t="shared" si="134"/>
        <v>-8.5000000000000178</v>
      </c>
      <c r="H112" s="13">
        <f t="shared" si="134"/>
        <v>-12.040000000000017</v>
      </c>
      <c r="I112" s="13">
        <f t="shared" si="134"/>
        <v>-15.630000000000042</v>
      </c>
      <c r="J112" s="13">
        <f t="shared" si="134"/>
        <v>-20.440000000000058</v>
      </c>
      <c r="R112" s="6" t="s">
        <v>4</v>
      </c>
      <c r="S112" s="1"/>
      <c r="T112" s="1"/>
      <c r="U112" s="1"/>
      <c r="V112" s="1">
        <f>$T$19-U3-$AA$17*(1-AT10)</f>
        <v>-54.45999999999998</v>
      </c>
      <c r="W112" s="1">
        <f t="shared" ref="W112:AA112" si="135">$T$19-V3-$AA$17*(1-AU10)</f>
        <v>-57.82</v>
      </c>
      <c r="X112" s="1">
        <f t="shared" si="135"/>
        <v>-59.280000000000008</v>
      </c>
      <c r="Y112" s="1">
        <f t="shared" si="135"/>
        <v>-2.1399999999999757</v>
      </c>
      <c r="Z112" s="1">
        <f t="shared" si="135"/>
        <v>-5.6800000000000139</v>
      </c>
      <c r="AA112" s="1">
        <f t="shared" si="135"/>
        <v>-14.180000000000032</v>
      </c>
      <c r="AD112" s="1"/>
      <c r="AE112" s="1"/>
      <c r="AF112" s="1"/>
      <c r="AG112" s="1"/>
      <c r="AH112" s="1"/>
      <c r="AI112" s="1"/>
      <c r="AJ112" s="1"/>
      <c r="AL112" s="1"/>
      <c r="AM112" s="1"/>
      <c r="AN112" s="1"/>
      <c r="AO112" s="1"/>
      <c r="AP112" s="1"/>
      <c r="AQ112" s="1"/>
      <c r="AR112" s="1"/>
      <c r="AT112" s="1"/>
      <c r="AU112" s="1"/>
      <c r="AV112" s="1"/>
      <c r="AW112" s="1"/>
      <c r="AX112" s="1"/>
      <c r="AY112" s="1"/>
      <c r="BA112" s="1"/>
      <c r="BB112" s="1"/>
      <c r="BC112" s="1"/>
      <c r="BD112" s="1"/>
      <c r="BE112" s="1"/>
      <c r="BG112" s="1"/>
      <c r="BH112" s="1"/>
      <c r="BI112" s="1"/>
      <c r="BK112" s="1"/>
      <c r="BL112" s="1"/>
      <c r="BM112" s="1"/>
      <c r="BO112" s="1"/>
      <c r="BP112" s="1"/>
      <c r="BR112" s="1"/>
    </row>
    <row r="113" spans="1:70" x14ac:dyDescent="0.3">
      <c r="A113" s="6" t="s">
        <v>4</v>
      </c>
      <c r="B113" s="1"/>
      <c r="C113" s="1"/>
      <c r="D113" s="1"/>
      <c r="E113" s="13">
        <f>$T$20-U5-$AA$17*(1-AT18)</f>
        <v>-60.140000000000008</v>
      </c>
      <c r="F113" s="13">
        <f t="shared" ref="F113:J113" si="136">$T$20-V5-$AA$17*(1-AU18)</f>
        <v>-2.3200000000000109</v>
      </c>
      <c r="G113" s="13">
        <f t="shared" si="136"/>
        <v>-7.0400000000000205</v>
      </c>
      <c r="H113" s="13">
        <f t="shared" si="136"/>
        <v>-10.58000000000002</v>
      </c>
      <c r="I113" s="13">
        <f t="shared" si="136"/>
        <v>-14.170000000000044</v>
      </c>
      <c r="J113" s="13">
        <f t="shared" si="136"/>
        <v>-18.980000000000061</v>
      </c>
      <c r="R113" s="6" t="s">
        <v>6</v>
      </c>
      <c r="S113" s="1"/>
      <c r="T113" s="1"/>
      <c r="U113" s="1"/>
      <c r="V113" s="1"/>
      <c r="W113" s="1">
        <f>$U$19-V3-$AA$17*(1-BA10)</f>
        <v>-55.679999999999993</v>
      </c>
      <c r="X113" s="1">
        <f t="shared" ref="X113:AA113" si="137">$U$19-W3-$AA$17*(1-BB10)</f>
        <v>-57.14</v>
      </c>
      <c r="Y113" s="1">
        <f t="shared" si="137"/>
        <v>3.1974423109204508E-14</v>
      </c>
      <c r="Z113" s="1">
        <f t="shared" si="137"/>
        <v>-3.5400000000000063</v>
      </c>
      <c r="AA113" s="1">
        <f t="shared" si="137"/>
        <v>-12.040000000000024</v>
      </c>
      <c r="AD113" s="1"/>
      <c r="AE113" s="1"/>
      <c r="AF113" s="1"/>
      <c r="AG113" s="1"/>
      <c r="AH113" s="1"/>
      <c r="AI113" s="1"/>
      <c r="AJ113" s="1"/>
      <c r="AL113" s="1"/>
      <c r="AM113" s="1"/>
      <c r="AN113" s="1"/>
      <c r="AO113" s="1"/>
      <c r="AP113" s="1"/>
      <c r="AQ113" s="1"/>
      <c r="AR113" s="1"/>
      <c r="AT113" s="1"/>
      <c r="AU113" s="1"/>
      <c r="AV113" s="1"/>
      <c r="AW113" s="1"/>
      <c r="AX113" s="1"/>
      <c r="AY113" s="1"/>
      <c r="BA113" s="1"/>
      <c r="BB113" s="1"/>
      <c r="BC113" s="1"/>
      <c r="BD113" s="1"/>
      <c r="BE113" s="1"/>
      <c r="BG113" s="1"/>
      <c r="BH113" s="1"/>
      <c r="BI113" s="1"/>
      <c r="BK113" s="1"/>
      <c r="BL113" s="1"/>
      <c r="BM113" s="1"/>
      <c r="BO113" s="1"/>
      <c r="BP113" s="1"/>
      <c r="BR113" s="1"/>
    </row>
    <row r="114" spans="1:70" x14ac:dyDescent="0.3">
      <c r="A114" s="6" t="s">
        <v>6</v>
      </c>
      <c r="B114" s="1"/>
      <c r="C114" s="1"/>
      <c r="D114" s="1"/>
      <c r="E114" s="1"/>
      <c r="F114" s="13">
        <f>$U$20-V5-$AA$17*(1-BA18)</f>
        <v>-59.250000000000007</v>
      </c>
      <c r="G114" s="13">
        <f t="shared" ref="G114:J114" si="138">$U$20-W5-$AA$17*(1-BB18)</f>
        <v>-2.3700000000000081</v>
      </c>
      <c r="H114" s="13">
        <f t="shared" si="138"/>
        <v>-5.9100000000000072</v>
      </c>
      <c r="I114" s="13">
        <f t="shared" si="138"/>
        <v>-9.500000000000032</v>
      </c>
      <c r="J114" s="13">
        <f t="shared" si="138"/>
        <v>-14.310000000000048</v>
      </c>
      <c r="R114" s="6" t="s">
        <v>8</v>
      </c>
      <c r="S114" s="1"/>
      <c r="T114" s="1"/>
      <c r="U114" s="1"/>
      <c r="V114" s="1"/>
      <c r="W114" s="1"/>
      <c r="X114" s="1"/>
      <c r="Y114" s="1">
        <f>$V$19-X3-$AA$17*(1-BG10)</f>
        <v>-57.939999999999969</v>
      </c>
      <c r="Z114" s="1">
        <f t="shared" ref="Z114:AA114" si="139">$V$19-Y3-$AA$17*(1-BH10)</f>
        <v>-61.480000000000004</v>
      </c>
      <c r="AA114" s="1">
        <f t="shared" si="139"/>
        <v>-8.3800000000000132</v>
      </c>
      <c r="AD114" s="1"/>
      <c r="AE114" s="1"/>
      <c r="AF114" s="1"/>
      <c r="AG114" s="1"/>
      <c r="AH114" s="1"/>
      <c r="AI114" s="1"/>
      <c r="AJ114" s="1"/>
      <c r="AL114" s="1"/>
      <c r="AM114" s="1"/>
      <c r="AN114" s="1"/>
      <c r="AO114" s="1"/>
      <c r="AP114" s="1"/>
      <c r="AQ114" s="1"/>
      <c r="AR114" s="1"/>
      <c r="AT114" s="1"/>
      <c r="AU114" s="1"/>
      <c r="AV114" s="1"/>
      <c r="AW114" s="1"/>
      <c r="AX114" s="1"/>
      <c r="AY114" s="1"/>
      <c r="BA114" s="1"/>
      <c r="BB114" s="1"/>
      <c r="BC114" s="1"/>
      <c r="BD114" s="1"/>
      <c r="BE114" s="1"/>
      <c r="BG114" s="1"/>
      <c r="BH114" s="1"/>
      <c r="BI114" s="1"/>
      <c r="BK114" s="1"/>
      <c r="BL114" s="1"/>
      <c r="BM114" s="1"/>
      <c r="BO114" s="1"/>
      <c r="BP114" s="1"/>
      <c r="BR114" s="1"/>
    </row>
    <row r="115" spans="1:70" x14ac:dyDescent="0.3">
      <c r="A115" s="6" t="s">
        <v>8</v>
      </c>
      <c r="B115" s="1"/>
      <c r="C115" s="1"/>
      <c r="D115" s="1"/>
      <c r="E115" s="1"/>
      <c r="F115" s="1"/>
      <c r="G115" s="1"/>
      <c r="H115" s="13">
        <f>$V$20-X5-$AA$17*(1-BG18)</f>
        <v>-0.1200000000000081</v>
      </c>
      <c r="I115" s="13">
        <f t="shared" ref="I115:J115" si="140">$V$20-Y5-$AA$17*(1-BH18)</f>
        <v>-3.7100000000000328</v>
      </c>
      <c r="J115" s="13">
        <f t="shared" si="140"/>
        <v>-8.5200000000000493</v>
      </c>
      <c r="R115" s="6" t="s">
        <v>9</v>
      </c>
      <c r="S115" s="1"/>
      <c r="T115" s="1"/>
      <c r="U115" s="1"/>
      <c r="V115" s="1"/>
      <c r="W115" s="1"/>
      <c r="X115" s="1"/>
      <c r="Y115" s="6">
        <f>$W$19-X3-$AA$17*(1-BK10)</f>
        <v>-51.019999999999953</v>
      </c>
      <c r="Z115" s="6">
        <f t="shared" ref="Z115" si="141">$W$19-Y3-$AA$17*(1-BL10)</f>
        <v>-54.559999999999995</v>
      </c>
      <c r="AA115" s="6">
        <f>$W$19-Z3-$AA$17*(1-BM10)</f>
        <v>-1.4600000000000044</v>
      </c>
      <c r="AD115" s="1"/>
      <c r="AE115" s="1"/>
      <c r="AF115" s="1"/>
      <c r="AG115" s="1"/>
      <c r="AH115" s="1"/>
      <c r="AI115" s="1"/>
      <c r="AJ115" s="1"/>
      <c r="AL115" s="1"/>
      <c r="AM115" s="1"/>
      <c r="AN115" s="1"/>
      <c r="AO115" s="1"/>
      <c r="AP115" s="1"/>
      <c r="AQ115" s="1"/>
      <c r="AR115" s="1"/>
      <c r="AT115" s="1"/>
      <c r="AU115" s="1"/>
      <c r="AV115" s="1"/>
      <c r="AW115" s="1"/>
      <c r="AX115" s="1"/>
      <c r="AY115" s="1"/>
      <c r="BA115" s="1"/>
      <c r="BB115" s="1"/>
      <c r="BC115" s="1"/>
      <c r="BD115" s="1"/>
      <c r="BE115" s="1"/>
      <c r="BG115" s="1"/>
      <c r="BH115" s="1"/>
      <c r="BI115" s="1"/>
      <c r="BK115" s="1"/>
      <c r="BL115" s="1"/>
      <c r="BM115" s="1"/>
      <c r="BO115" s="1"/>
      <c r="BP115" s="1"/>
      <c r="BR115" s="1"/>
    </row>
    <row r="116" spans="1:70" x14ac:dyDescent="0.3">
      <c r="A116" s="6" t="s">
        <v>9</v>
      </c>
      <c r="B116" s="1"/>
      <c r="C116" s="1"/>
      <c r="D116" s="1"/>
      <c r="E116" s="1"/>
      <c r="F116" s="1"/>
      <c r="G116" s="1"/>
      <c r="H116" s="13">
        <f>$W$20-X5-$AA$17*(1-BK18)</f>
        <v>-58.009999999999984</v>
      </c>
      <c r="I116" s="13">
        <f t="shared" ref="I116:J116" si="142">$W$20-Y5-$AA$17*(1-BL18)</f>
        <v>0</v>
      </c>
      <c r="J116" s="13">
        <f t="shared" si="142"/>
        <v>-4.8100000000000165</v>
      </c>
      <c r="R116" s="6" t="s">
        <v>11</v>
      </c>
      <c r="S116" s="1"/>
      <c r="T116" s="1"/>
      <c r="U116" s="1"/>
      <c r="V116" s="1"/>
      <c r="W116" s="1"/>
      <c r="X116" s="1"/>
      <c r="Y116" s="1"/>
      <c r="Z116" s="1">
        <f>$X$19-Y3-$AA$17*(1-BO10)</f>
        <v>-53.099999999999994</v>
      </c>
      <c r="AA116" s="1">
        <f>$X$19-Z3-$AA$17*(1-BP10)</f>
        <v>-3.5527136788005009E-15</v>
      </c>
      <c r="AD116" s="1"/>
      <c r="AE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R116" s="1"/>
      <c r="AT116" s="1"/>
      <c r="AU116" s="1"/>
      <c r="AV116" s="1"/>
      <c r="AW116" s="1"/>
      <c r="AX116" s="1"/>
      <c r="AY116" s="1"/>
      <c r="BA116" s="1"/>
      <c r="BB116" s="1"/>
      <c r="BC116" s="1"/>
      <c r="BD116" s="1"/>
      <c r="BE116" s="1"/>
      <c r="BG116" s="1"/>
      <c r="BH116" s="1"/>
      <c r="BI116" s="1"/>
      <c r="BK116" s="1"/>
      <c r="BL116" s="1"/>
      <c r="BM116" s="1"/>
      <c r="BO116" s="1"/>
      <c r="BP116" s="1"/>
      <c r="BR116" s="1"/>
    </row>
    <row r="117" spans="1:70" x14ac:dyDescent="0.3">
      <c r="A117" s="6" t="s">
        <v>11</v>
      </c>
      <c r="B117" s="1"/>
      <c r="C117" s="1"/>
      <c r="D117" s="1"/>
      <c r="E117" s="1"/>
      <c r="F117" s="1"/>
      <c r="G117" s="1"/>
      <c r="H117" s="1"/>
      <c r="I117" s="13">
        <f>$X$20-Y5-$AA$17*(1-BO18)</f>
        <v>-60.140000000000086</v>
      </c>
      <c r="J117" s="13">
        <f>$X$20-Z5-$AA$17*(1-BP18)</f>
        <v>-3.3500000000000938</v>
      </c>
      <c r="R117" s="6" t="s">
        <v>13</v>
      </c>
      <c r="S117" s="1"/>
      <c r="T117" s="1"/>
      <c r="U117" s="1"/>
      <c r="V117" s="1"/>
      <c r="W117" s="1"/>
      <c r="X117" s="1"/>
      <c r="Y117" s="1"/>
      <c r="Z117" s="1"/>
      <c r="AA117" s="1">
        <f>$Y$19-Z3-$AA$17*(1-BR10)</f>
        <v>-58.009999999999991</v>
      </c>
      <c r="AD117" s="1"/>
      <c r="AE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R117" s="1"/>
      <c r="AT117" s="1"/>
      <c r="AU117" s="1"/>
      <c r="AV117" s="1"/>
      <c r="AW117" s="1"/>
      <c r="AX117" s="1"/>
      <c r="AY117" s="1"/>
      <c r="BA117" s="1"/>
      <c r="BB117" s="1"/>
      <c r="BC117" s="1"/>
      <c r="BD117" s="1"/>
      <c r="BE117" s="1"/>
      <c r="BG117" s="1"/>
      <c r="BH117" s="1"/>
      <c r="BI117" s="1"/>
      <c r="BK117" s="1"/>
      <c r="BL117" s="1"/>
      <c r="BM117" s="1"/>
      <c r="BO117" s="1"/>
      <c r="BP117" s="1"/>
      <c r="BR117" s="1"/>
    </row>
    <row r="118" spans="1:70" x14ac:dyDescent="0.3">
      <c r="A118" s="6" t="s">
        <v>13</v>
      </c>
      <c r="B118" s="1"/>
      <c r="C118" s="1"/>
      <c r="D118" s="1"/>
      <c r="E118" s="1"/>
      <c r="F118" s="1"/>
      <c r="G118" s="1"/>
      <c r="H118" s="1"/>
      <c r="I118" s="1"/>
      <c r="J118" s="13">
        <f>$Y$20-Z5-$AA$17*(1-BR18)</f>
        <v>-9.2370555648813024E-14</v>
      </c>
      <c r="R118" s="6" t="s">
        <v>15</v>
      </c>
      <c r="S118" s="1"/>
      <c r="T118" s="1"/>
      <c r="U118" s="1"/>
      <c r="V118" s="1"/>
      <c r="W118" s="1"/>
      <c r="X118" s="1"/>
      <c r="Y118" s="1"/>
      <c r="Z118" s="1"/>
      <c r="AA118" s="1"/>
      <c r="AD118" s="1"/>
      <c r="AE118" s="1"/>
      <c r="AF118" s="1"/>
      <c r="AG118" s="1"/>
      <c r="AH118" s="1"/>
      <c r="AI118" s="1"/>
      <c r="AJ118" s="1"/>
      <c r="AL118" s="1"/>
      <c r="AM118" s="1"/>
      <c r="AN118" s="1"/>
      <c r="AO118" s="1"/>
      <c r="AP118" s="1"/>
      <c r="AQ118" s="1"/>
      <c r="AR118" s="1"/>
      <c r="AT118" s="1"/>
      <c r="AU118" s="1"/>
      <c r="AV118" s="1"/>
      <c r="AW118" s="1"/>
      <c r="AX118" s="1"/>
      <c r="AY118" s="1"/>
      <c r="BA118" s="1"/>
      <c r="BB118" s="1"/>
      <c r="BC118" s="1"/>
      <c r="BD118" s="1"/>
      <c r="BE118" s="1"/>
      <c r="BG118" s="1"/>
      <c r="BH118" s="1"/>
      <c r="BI118" s="1"/>
      <c r="BK118" s="1"/>
      <c r="BL118" s="1"/>
      <c r="BM118" s="1"/>
      <c r="BO118" s="1"/>
      <c r="BP118" s="1"/>
      <c r="BR118" s="1"/>
    </row>
    <row r="119" spans="1:70" x14ac:dyDescent="0.3">
      <c r="A119" s="6" t="s">
        <v>15</v>
      </c>
      <c r="B119" s="1"/>
      <c r="C119" s="1"/>
      <c r="D119" s="1"/>
      <c r="E119" s="1"/>
      <c r="F119" s="1"/>
      <c r="G119" s="1"/>
      <c r="H119" s="1"/>
      <c r="I119" s="1"/>
      <c r="J119" s="1"/>
      <c r="AD119" s="1"/>
      <c r="AE119" s="1"/>
      <c r="AF119" s="1"/>
      <c r="AG119" s="1"/>
      <c r="AH119" s="1"/>
      <c r="AI119" s="1"/>
      <c r="AJ119" s="1"/>
      <c r="AL119" s="1"/>
      <c r="AM119" s="1"/>
      <c r="AN119" s="1"/>
      <c r="AO119" s="1"/>
      <c r="AP119" s="1"/>
      <c r="AQ119" s="1"/>
      <c r="AR119" s="1"/>
      <c r="AT119" s="1"/>
      <c r="AU119" s="1"/>
      <c r="AV119" s="1"/>
      <c r="AW119" s="1"/>
      <c r="AX119" s="1"/>
      <c r="AY119" s="1"/>
      <c r="BA119" s="1"/>
      <c r="BB119" s="1"/>
      <c r="BC119" s="1"/>
      <c r="BD119" s="1"/>
      <c r="BE119" s="1"/>
      <c r="BG119" s="1"/>
      <c r="BH119" s="1"/>
      <c r="BI119" s="1"/>
      <c r="BK119" s="1"/>
      <c r="BL119" s="1"/>
      <c r="BM119" s="1"/>
      <c r="BO119" s="1"/>
      <c r="BP119" s="1"/>
      <c r="BR119" s="1"/>
    </row>
    <row r="120" spans="1:70" x14ac:dyDescent="0.3">
      <c r="R120" t="s">
        <v>44</v>
      </c>
      <c r="AD120" s="1"/>
      <c r="AE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R120" s="1"/>
      <c r="AT120" s="1"/>
      <c r="AU120" s="1"/>
      <c r="AV120" s="1"/>
      <c r="AW120" s="1"/>
      <c r="AX120" s="1"/>
      <c r="AY120" s="1"/>
      <c r="BA120" s="1"/>
      <c r="BB120" s="1"/>
      <c r="BC120" s="1"/>
      <c r="BD120" s="1"/>
      <c r="BE120" s="1"/>
      <c r="BG120" s="1"/>
      <c r="BH120" s="1"/>
      <c r="BI120" s="1"/>
      <c r="BK120" s="1"/>
      <c r="BL120" s="1"/>
      <c r="BM120" s="1"/>
      <c r="BO120" s="1"/>
      <c r="BP120" s="1"/>
      <c r="BR120" s="1"/>
    </row>
    <row r="121" spans="1:70" x14ac:dyDescent="0.3">
      <c r="A121" t="s">
        <v>77</v>
      </c>
      <c r="R121" s="1"/>
      <c r="S121" s="6" t="s">
        <v>1</v>
      </c>
      <c r="T121" s="6" t="s">
        <v>2</v>
      </c>
      <c r="U121" s="6" t="s">
        <v>4</v>
      </c>
      <c r="V121" s="6" t="s">
        <v>6</v>
      </c>
      <c r="W121" s="6" t="s">
        <v>8</v>
      </c>
      <c r="X121" s="6" t="s">
        <v>9</v>
      </c>
      <c r="Y121" s="6" t="s">
        <v>11</v>
      </c>
      <c r="Z121" s="6" t="s">
        <v>13</v>
      </c>
      <c r="AA121" s="6" t="s">
        <v>15</v>
      </c>
      <c r="AD121" s="1"/>
      <c r="AE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R121" s="1"/>
      <c r="AT121" s="1"/>
      <c r="AU121" s="1"/>
      <c r="AV121" s="1"/>
      <c r="AW121" s="1"/>
      <c r="AX121" s="1"/>
      <c r="AY121" s="1"/>
      <c r="BA121" s="1"/>
      <c r="BB121" s="1"/>
      <c r="BC121" s="1"/>
      <c r="BD121" s="1"/>
      <c r="BE121" s="1"/>
      <c r="BG121" s="1"/>
      <c r="BH121" s="1"/>
      <c r="BI121" s="1"/>
      <c r="BK121" s="1"/>
      <c r="BL121" s="1"/>
      <c r="BM121" s="1"/>
      <c r="BO121" s="1"/>
      <c r="BP121" s="1"/>
      <c r="BR121" s="1"/>
    </row>
    <row r="122" spans="1:70" x14ac:dyDescent="0.3">
      <c r="A122" s="1"/>
      <c r="B122" s="6" t="s">
        <v>1</v>
      </c>
      <c r="C122" s="6" t="s">
        <v>2</v>
      </c>
      <c r="D122" s="6" t="s">
        <v>4</v>
      </c>
      <c r="E122" s="6" t="s">
        <v>6</v>
      </c>
      <c r="F122" s="6" t="s">
        <v>8</v>
      </c>
      <c r="G122" s="6" t="s">
        <v>9</v>
      </c>
      <c r="H122" s="6" t="s">
        <v>11</v>
      </c>
      <c r="I122" s="6" t="s">
        <v>13</v>
      </c>
      <c r="J122" s="6" t="s">
        <v>15</v>
      </c>
      <c r="R122" s="6" t="s">
        <v>1</v>
      </c>
      <c r="S122" s="1"/>
      <c r="T122" s="1"/>
      <c r="U122" s="1">
        <f>$R$19-T4-$AA$17*(1-AD11)</f>
        <v>3.5527136788005009E-15</v>
      </c>
      <c r="V122" s="1">
        <f t="shared" ref="V122:Z122" si="143">$R$19-U4-$AA$17*(1-AE11)</f>
        <v>-2.4400000000000048</v>
      </c>
      <c r="W122" s="1">
        <f t="shared" si="143"/>
        <v>-5.4500000000000259</v>
      </c>
      <c r="X122" s="1">
        <f t="shared" si="143"/>
        <v>-8.8100000000000271</v>
      </c>
      <c r="Y122" s="1">
        <f t="shared" si="143"/>
        <v>-15.73000000000004</v>
      </c>
      <c r="Z122" s="1">
        <f t="shared" si="143"/>
        <v>-18.169999999999991</v>
      </c>
      <c r="AA122" s="1">
        <f>$R$19-Z4-$AA$17*(1-AJ11)</f>
        <v>-25.419999999999995</v>
      </c>
      <c r="AD122" s="1"/>
      <c r="AE122" s="1"/>
      <c r="AF122" s="1"/>
      <c r="AG122" s="1"/>
      <c r="AH122" s="1"/>
      <c r="AI122" s="1"/>
      <c r="AJ122" s="1"/>
      <c r="AL122" s="1"/>
      <c r="AM122" s="1"/>
      <c r="AN122" s="1"/>
      <c r="AO122" s="1"/>
      <c r="AP122" s="1"/>
      <c r="AQ122" s="1"/>
      <c r="AR122" s="1"/>
      <c r="AT122" s="1"/>
      <c r="AU122" s="1"/>
      <c r="AV122" s="1"/>
      <c r="AW122" s="1"/>
      <c r="AX122" s="1"/>
      <c r="AY122" s="1"/>
      <c r="BA122" s="1"/>
      <c r="BB122" s="1"/>
      <c r="BC122" s="1"/>
      <c r="BD122" s="1"/>
      <c r="BE122" s="1"/>
      <c r="BG122" s="1"/>
      <c r="BH122" s="1"/>
      <c r="BI122" s="1"/>
      <c r="BK122" s="1"/>
      <c r="BL122" s="1"/>
      <c r="BM122" s="1"/>
      <c r="BO122" s="1"/>
      <c r="BP122" s="1"/>
      <c r="BR122" s="1"/>
    </row>
    <row r="123" spans="1:70" x14ac:dyDescent="0.3">
      <c r="A123" s="6" t="s">
        <v>1</v>
      </c>
      <c r="B123" s="1"/>
      <c r="C123" s="1"/>
      <c r="D123" s="13">
        <f>T16-$R$6-$AA$17*(1-AD19)</f>
        <v>-8.1500000000000128</v>
      </c>
      <c r="E123" s="13">
        <f t="shared" ref="E123:J123" si="144">U16-$R$6-$AA$17*(1-AE19)</f>
        <v>-7.1400000000000192</v>
      </c>
      <c r="F123" s="13">
        <f t="shared" si="144"/>
        <v>-4.3700000000000259</v>
      </c>
      <c r="G123" s="13">
        <f t="shared" si="144"/>
        <v>-1.0100000000000087</v>
      </c>
      <c r="H123" s="13">
        <f t="shared" si="144"/>
        <v>-61.150000000000006</v>
      </c>
      <c r="I123" s="13">
        <f t="shared" si="144"/>
        <v>-58.709999999999994</v>
      </c>
      <c r="J123" s="13">
        <f t="shared" si="144"/>
        <v>-48.429999999999978</v>
      </c>
      <c r="R123" s="6" t="s">
        <v>2</v>
      </c>
      <c r="S123" s="1"/>
      <c r="T123" s="1"/>
      <c r="U123" s="1">
        <f>$S$19-T4-$AA$17*(1-AL11)</f>
        <v>-59.16</v>
      </c>
      <c r="V123" s="1">
        <f t="shared" ref="V123:AA123" si="145">$S$19-U4-$AA$17*(1-AM11)</f>
        <v>0</v>
      </c>
      <c r="W123" s="1">
        <f t="shared" si="145"/>
        <v>-3.0100000000000211</v>
      </c>
      <c r="X123" s="1">
        <f t="shared" si="145"/>
        <v>-6.3700000000000223</v>
      </c>
      <c r="Y123" s="1">
        <f t="shared" si="145"/>
        <v>-13.290000000000035</v>
      </c>
      <c r="Z123" s="1">
        <f t="shared" si="145"/>
        <v>-15.729999999999986</v>
      </c>
      <c r="AA123" s="1">
        <f t="shared" si="145"/>
        <v>-22.97999999999999</v>
      </c>
      <c r="AD123" s="1"/>
      <c r="AE123" s="1"/>
      <c r="AF123" s="1"/>
      <c r="AG123" s="1"/>
      <c r="AH123" s="1"/>
      <c r="AI123" s="1"/>
      <c r="AJ123" s="1"/>
      <c r="AL123" s="1"/>
      <c r="AM123" s="1"/>
      <c r="AN123" s="1"/>
      <c r="AO123" s="1"/>
      <c r="AP123" s="1"/>
      <c r="AQ123" s="1"/>
      <c r="AR123" s="1"/>
      <c r="AT123" s="1"/>
      <c r="AU123" s="1"/>
      <c r="AV123" s="1"/>
      <c r="AW123" s="1"/>
      <c r="AX123" s="1"/>
      <c r="AY123" s="1"/>
      <c r="BA123" s="1"/>
      <c r="BB123" s="1"/>
      <c r="BC123" s="1"/>
      <c r="BD123" s="1"/>
      <c r="BE123" s="1"/>
      <c r="BG123" s="1"/>
      <c r="BH123" s="1"/>
      <c r="BI123" s="1"/>
      <c r="BK123" s="1"/>
      <c r="BL123" s="1"/>
      <c r="BM123" s="1"/>
      <c r="BO123" s="1"/>
      <c r="BP123" s="1"/>
      <c r="BR123" s="1"/>
    </row>
    <row r="124" spans="1:70" x14ac:dyDescent="0.3">
      <c r="A124" s="6" t="s">
        <v>2</v>
      </c>
      <c r="B124" s="1"/>
      <c r="C124" s="1"/>
      <c r="D124" s="13">
        <f>T16-$S$6-$AA$17*(1-AL19)</f>
        <v>-11.040000000000031</v>
      </c>
      <c r="E124" s="13">
        <f t="shared" ref="E124:J124" si="146">U16-$S$6-$AA$17*(1-AM19)</f>
        <v>-10.030000000000037</v>
      </c>
      <c r="F124" s="13">
        <f t="shared" si="146"/>
        <v>-7.2600000000000442</v>
      </c>
      <c r="G124" s="13">
        <f t="shared" si="146"/>
        <v>-3.900000000000027</v>
      </c>
      <c r="H124" s="13">
        <f t="shared" si="146"/>
        <v>-2.440000000000019</v>
      </c>
      <c r="I124" s="13">
        <f t="shared" si="146"/>
        <v>-7.1054273576010019E-15</v>
      </c>
      <c r="J124" s="13">
        <f t="shared" si="146"/>
        <v>-51.319999999999993</v>
      </c>
      <c r="R124" s="6" t="s">
        <v>4</v>
      </c>
      <c r="S124" s="1"/>
      <c r="T124" s="1"/>
      <c r="U124" s="1"/>
      <c r="V124" s="1">
        <f>$T$19-U4-$AA$17*(1-AT11)</f>
        <v>-58.709999999999994</v>
      </c>
      <c r="W124" s="1">
        <f t="shared" ref="W124:AA124" si="147">$T$19-V4-$AA$17*(1-AU11)</f>
        <v>-0.12000000000000988</v>
      </c>
      <c r="X124" s="1">
        <f t="shared" si="147"/>
        <v>-3.4800000000000111</v>
      </c>
      <c r="Y124" s="1">
        <f t="shared" si="147"/>
        <v>-10.400000000000023</v>
      </c>
      <c r="Z124" s="1">
        <f t="shared" si="147"/>
        <v>-12.839999999999975</v>
      </c>
      <c r="AA124" s="1">
        <f t="shared" si="147"/>
        <v>-20.089999999999979</v>
      </c>
      <c r="AD124" s="1"/>
      <c r="AE124" s="1"/>
      <c r="AF124" s="1"/>
      <c r="AG124" s="1"/>
      <c r="AH124" s="1"/>
      <c r="AI124" s="1"/>
      <c r="AJ124" s="1"/>
      <c r="AL124" s="1"/>
      <c r="AM124" s="1"/>
      <c r="AN124" s="1"/>
      <c r="AO124" s="1"/>
      <c r="AP124" s="1"/>
      <c r="AQ124" s="1"/>
      <c r="AR124" s="1"/>
      <c r="AT124" s="1"/>
      <c r="AU124" s="1"/>
      <c r="AV124" s="1"/>
      <c r="AW124" s="1"/>
      <c r="AX124" s="1"/>
      <c r="AY124" s="1"/>
      <c r="BA124" s="1"/>
      <c r="BB124" s="1"/>
      <c r="BC124" s="1"/>
      <c r="BD124" s="1"/>
      <c r="BE124" s="1"/>
      <c r="BG124" s="1"/>
      <c r="BH124" s="1"/>
      <c r="BI124" s="1"/>
      <c r="BK124" s="1"/>
      <c r="BL124" s="1"/>
      <c r="BM124" s="1"/>
      <c r="BO124" s="1"/>
      <c r="BP124" s="1"/>
      <c r="BR124" s="1"/>
    </row>
    <row r="125" spans="1:70" x14ac:dyDescent="0.3">
      <c r="A125" s="6" t="s">
        <v>4</v>
      </c>
      <c r="B125" s="1"/>
      <c r="C125" s="1"/>
      <c r="D125" s="1"/>
      <c r="E125" s="13">
        <f>U16-$T$6-$AA$17*(1-AT19)</f>
        <v>-13.270000000000032</v>
      </c>
      <c r="F125" s="13">
        <f t="shared" ref="F125:J125" si="148">V16-$T$6-$AA$17*(1-AU19)</f>
        <v>-10.500000000000039</v>
      </c>
      <c r="G125" s="13">
        <f t="shared" si="148"/>
        <v>-7.1400000000000219</v>
      </c>
      <c r="H125" s="13">
        <f t="shared" si="148"/>
        <v>-5.6800000000000139</v>
      </c>
      <c r="I125" s="13">
        <f t="shared" si="148"/>
        <v>-3.240000000000002</v>
      </c>
      <c r="J125" s="13">
        <f t="shared" si="148"/>
        <v>-54.559999999999988</v>
      </c>
      <c r="R125" s="6" t="s">
        <v>6</v>
      </c>
      <c r="S125" s="1"/>
      <c r="T125" s="1"/>
      <c r="U125" s="1"/>
      <c r="V125" s="1"/>
      <c r="W125" s="1">
        <f>$U$19-V4-$AA$17*(1-BA11)</f>
        <v>-59.580000000000013</v>
      </c>
      <c r="X125" s="1">
        <f t="shared" ref="X125:AA125" si="149">$U$19-W4-$AA$17*(1-BB11)</f>
        <v>-1.3400000000000034</v>
      </c>
      <c r="Y125" s="1">
        <f t="shared" si="149"/>
        <v>-8.2600000000000158</v>
      </c>
      <c r="Z125" s="1">
        <f t="shared" si="149"/>
        <v>-10.699999999999967</v>
      </c>
      <c r="AA125" s="1">
        <f t="shared" si="149"/>
        <v>-17.949999999999971</v>
      </c>
      <c r="AD125" s="1"/>
      <c r="AE125" s="1"/>
      <c r="AF125" s="1"/>
      <c r="AG125" s="1"/>
      <c r="AH125" s="1"/>
      <c r="AI125" s="1"/>
      <c r="AJ125" s="1"/>
      <c r="AL125" s="1"/>
      <c r="AM125" s="1"/>
      <c r="AN125" s="1"/>
      <c r="AO125" s="1"/>
      <c r="AP125" s="1"/>
      <c r="AQ125" s="1"/>
      <c r="AR125" s="1"/>
      <c r="AT125" s="1"/>
      <c r="AU125" s="1"/>
      <c r="AV125" s="1"/>
      <c r="AW125" s="1"/>
      <c r="AX125" s="1"/>
      <c r="AY125" s="1"/>
      <c r="BA125" s="1"/>
      <c r="BB125" s="1"/>
      <c r="BC125" s="1"/>
      <c r="BD125" s="1"/>
      <c r="BE125" s="1"/>
      <c r="BG125" s="1"/>
      <c r="BH125" s="1"/>
      <c r="BI125" s="1"/>
      <c r="BK125" s="1"/>
      <c r="BL125" s="1"/>
      <c r="BM125" s="1"/>
      <c r="BO125" s="1"/>
      <c r="BP125" s="1"/>
      <c r="BR125" s="1"/>
    </row>
    <row r="126" spans="1:70" x14ac:dyDescent="0.3">
      <c r="A126" s="6" t="s">
        <v>6</v>
      </c>
      <c r="B126" s="1"/>
      <c r="C126" s="1"/>
      <c r="D126" s="1"/>
      <c r="E126" s="1"/>
      <c r="F126" s="13">
        <f>V16-$U$6-$AA$17*(1-BA19)</f>
        <v>-15.170000000000051</v>
      </c>
      <c r="G126" s="13">
        <f t="shared" ref="G126:J126" si="150">W16-$U$6-$AA$17*(1-BB19)</f>
        <v>-11.810000000000034</v>
      </c>
      <c r="H126" s="13">
        <f t="shared" si="150"/>
        <v>-10.350000000000026</v>
      </c>
      <c r="I126" s="13">
        <f t="shared" si="150"/>
        <v>-7.9100000000000144</v>
      </c>
      <c r="J126" s="13">
        <f t="shared" si="150"/>
        <v>-59.230000000000004</v>
      </c>
      <c r="R126" s="6" t="s">
        <v>8</v>
      </c>
      <c r="S126" s="1"/>
      <c r="T126" s="1"/>
      <c r="U126" s="1"/>
      <c r="V126" s="1"/>
      <c r="W126" s="1"/>
      <c r="X126" s="1"/>
      <c r="Y126" s="1">
        <f>$V$19-X4-$AA$17*(1-BG11)</f>
        <v>-4.600000000000005</v>
      </c>
      <c r="Z126" s="1">
        <f t="shared" ref="Z126:AA126" si="151">$V$19-Y4-$AA$17*(1-BH11)</f>
        <v>-7.0399999999999565</v>
      </c>
      <c r="AA126" s="1">
        <f t="shared" si="151"/>
        <v>-14.28999999999996</v>
      </c>
      <c r="AD126" s="1"/>
      <c r="AE126" s="1"/>
      <c r="AF126" s="1"/>
      <c r="AG126" s="1"/>
      <c r="AH126" s="1"/>
      <c r="AI126" s="1"/>
      <c r="AJ126" s="1"/>
      <c r="AL126" s="1"/>
      <c r="AM126" s="1"/>
      <c r="AN126" s="1"/>
      <c r="AO126" s="1"/>
      <c r="AP126" s="1"/>
      <c r="AQ126" s="1"/>
      <c r="AR126" s="1"/>
      <c r="AT126" s="1"/>
      <c r="AU126" s="1"/>
      <c r="AV126" s="1"/>
      <c r="AW126" s="1"/>
      <c r="AX126" s="1"/>
      <c r="AY126" s="1"/>
      <c r="BA126" s="1"/>
      <c r="BB126" s="1"/>
      <c r="BC126" s="1"/>
      <c r="BD126" s="1"/>
      <c r="BE126" s="1"/>
      <c r="BG126" s="1"/>
      <c r="BH126" s="1"/>
      <c r="BI126" s="1"/>
      <c r="BK126" s="1"/>
      <c r="BL126" s="1"/>
      <c r="BM126" s="1"/>
      <c r="BO126" s="1"/>
      <c r="BP126" s="1"/>
      <c r="BR126" s="1"/>
    </row>
    <row r="127" spans="1:70" x14ac:dyDescent="0.3">
      <c r="A127" s="6" t="s">
        <v>8</v>
      </c>
      <c r="B127" s="1"/>
      <c r="C127" s="1"/>
      <c r="D127" s="1"/>
      <c r="E127" s="1"/>
      <c r="F127" s="1"/>
      <c r="G127" s="1"/>
      <c r="H127" s="13">
        <f>X16-$V$6-$AA$17*(1-BG19)</f>
        <v>-15.280000000000044</v>
      </c>
      <c r="I127" s="13">
        <f t="shared" ref="I127:J127" si="152">Y16-$V$6-$AA$17*(1-BH19)</f>
        <v>-12.840000000000032</v>
      </c>
      <c r="J127" s="13">
        <f t="shared" si="152"/>
        <v>-2.5600000000000129</v>
      </c>
      <c r="R127" s="6" t="s">
        <v>9</v>
      </c>
      <c r="S127" s="1"/>
      <c r="T127" s="1"/>
      <c r="U127" s="1"/>
      <c r="V127" s="1"/>
      <c r="W127" s="1"/>
      <c r="X127" s="1"/>
      <c r="Y127" s="1">
        <f>$W$19-X4-$AA$17*(1-BK11)</f>
        <v>-59.28</v>
      </c>
      <c r="Z127" s="1">
        <f t="shared" ref="Z127:AA127" si="153">$W$19-Y4-$AA$17*(1-BL11)</f>
        <v>-0.1199999999999477</v>
      </c>
      <c r="AA127" s="1">
        <f t="shared" si="153"/>
        <v>-7.3699999999999513</v>
      </c>
      <c r="AD127" s="1"/>
      <c r="AE127" s="1"/>
      <c r="AF127" s="1"/>
      <c r="AG127" s="1"/>
      <c r="AH127" s="1"/>
      <c r="AI127" s="1"/>
      <c r="AJ127" s="1"/>
      <c r="AL127" s="1"/>
      <c r="AM127" s="1"/>
      <c r="AN127" s="1"/>
      <c r="AO127" s="1"/>
      <c r="AP127" s="1"/>
      <c r="AQ127" s="1"/>
      <c r="AR127" s="1"/>
      <c r="AT127" s="1"/>
      <c r="AU127" s="1"/>
      <c r="AV127" s="1"/>
      <c r="AW127" s="1"/>
      <c r="AX127" s="1"/>
      <c r="AY127" s="1"/>
      <c r="BA127" s="1"/>
      <c r="BB127" s="1"/>
      <c r="BC127" s="1"/>
      <c r="BD127" s="1"/>
      <c r="BE127" s="1"/>
      <c r="BG127" s="1"/>
      <c r="BH127" s="1"/>
      <c r="BI127" s="1"/>
      <c r="BK127" s="1"/>
      <c r="BL127" s="1"/>
      <c r="BM127" s="1"/>
      <c r="BO127" s="1"/>
      <c r="BP127" s="1"/>
      <c r="BR127" s="1"/>
    </row>
    <row r="128" spans="1:70" x14ac:dyDescent="0.3">
      <c r="A128" s="6" t="s">
        <v>9</v>
      </c>
      <c r="B128" s="1"/>
      <c r="C128" s="1"/>
      <c r="D128" s="1"/>
      <c r="E128" s="1"/>
      <c r="F128" s="1"/>
      <c r="G128" s="1"/>
      <c r="H128" s="13">
        <f>X16-$W$6-$AA$17*(1-BK19)</f>
        <v>-18.750000000000039</v>
      </c>
      <c r="I128" s="13">
        <f t="shared" ref="I128" si="154">Y16-$W$6-$AA$17*(1-BL19)</f>
        <v>-16.310000000000027</v>
      </c>
      <c r="J128" s="13">
        <f>Z16-$W$6-$AA$17*(1-BM19)</f>
        <v>-6.0300000000000082</v>
      </c>
      <c r="R128" s="6" t="s">
        <v>11</v>
      </c>
      <c r="S128" s="1"/>
      <c r="T128" s="1"/>
      <c r="U128" s="1"/>
      <c r="V128" s="1"/>
      <c r="W128" s="1"/>
      <c r="X128" s="1"/>
      <c r="Y128" s="1"/>
      <c r="Z128" s="1">
        <f>$X$19-Y4-$AA$17*(1-BO11)</f>
        <v>-60.259999999999955</v>
      </c>
      <c r="AA128" s="1">
        <f>$X$19-Z4-$AA$17*(1-BP11)</f>
        <v>-5.9099999999999504</v>
      </c>
      <c r="AD128" s="1"/>
      <c r="AE128" s="1"/>
      <c r="AF128" s="1"/>
      <c r="AG128" s="1"/>
      <c r="AH128" s="1"/>
      <c r="AI128" s="1"/>
      <c r="AJ128" s="1"/>
      <c r="AL128" s="1"/>
      <c r="AM128" s="1"/>
      <c r="AN128" s="1"/>
      <c r="AO128" s="1"/>
      <c r="AP128" s="1"/>
      <c r="AQ128" s="1"/>
      <c r="AR128" s="1"/>
      <c r="AT128" s="1"/>
      <c r="AU128" s="1"/>
      <c r="AV128" s="1"/>
      <c r="AW128" s="1"/>
      <c r="AX128" s="1"/>
      <c r="AY128" s="1"/>
      <c r="BA128" s="1"/>
      <c r="BB128" s="1"/>
      <c r="BC128" s="1"/>
      <c r="BD128" s="1"/>
      <c r="BE128" s="1"/>
      <c r="BG128" s="1"/>
      <c r="BH128" s="1"/>
      <c r="BI128" s="1"/>
      <c r="BK128" s="1"/>
      <c r="BL128" s="1"/>
      <c r="BM128" s="1"/>
      <c r="BO128" s="1"/>
      <c r="BP128" s="1"/>
      <c r="BR128" s="1"/>
    </row>
    <row r="129" spans="1:70" x14ac:dyDescent="0.3">
      <c r="A129" s="6" t="s">
        <v>11</v>
      </c>
      <c r="B129" s="1"/>
      <c r="C129" s="1"/>
      <c r="D129" s="1"/>
      <c r="E129" s="1"/>
      <c r="F129" s="1"/>
      <c r="G129" s="1"/>
      <c r="H129" s="1"/>
      <c r="I129" s="13">
        <f>Y16-$X$6-$AA$17*(1-BO19)</f>
        <v>-18.869999999999973</v>
      </c>
      <c r="J129" s="13">
        <f>Z16-$X$6-$AA$17*(1-BP19)</f>
        <v>-8.5899999999999537</v>
      </c>
      <c r="R129" s="6" t="s">
        <v>13</v>
      </c>
      <c r="S129" s="1"/>
      <c r="T129" s="1"/>
      <c r="U129" s="1"/>
      <c r="V129" s="1"/>
      <c r="W129" s="1"/>
      <c r="X129" s="1"/>
      <c r="Y129" s="1"/>
      <c r="Z129" s="1"/>
      <c r="AA129" s="1">
        <f>$Y$19-Z4-$AA$17*(1-BR11)</f>
        <v>-2.3199999999999292</v>
      </c>
      <c r="AD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R129" s="1"/>
      <c r="AT129" s="1"/>
      <c r="AU129" s="1"/>
      <c r="AV129" s="1"/>
      <c r="AW129" s="1"/>
      <c r="AX129" s="1"/>
      <c r="AY129" s="1"/>
      <c r="BA129" s="1"/>
      <c r="BB129" s="1"/>
      <c r="BC129" s="1"/>
      <c r="BD129" s="1"/>
      <c r="BE129" s="1"/>
      <c r="BG129" s="1"/>
      <c r="BH129" s="1"/>
      <c r="BI129" s="1"/>
      <c r="BK129" s="1"/>
      <c r="BL129" s="1"/>
      <c r="BM129" s="1"/>
      <c r="BO129" s="1"/>
      <c r="BP129" s="1"/>
      <c r="BR129" s="1"/>
    </row>
    <row r="130" spans="1:70" x14ac:dyDescent="0.3">
      <c r="A130" s="6" t="s">
        <v>13</v>
      </c>
      <c r="B130" s="1"/>
      <c r="C130" s="1"/>
      <c r="D130" s="1"/>
      <c r="E130" s="1"/>
      <c r="F130" s="1"/>
      <c r="G130" s="1"/>
      <c r="H130" s="1"/>
      <c r="I130" s="1"/>
      <c r="J130" s="13">
        <f>Z16-$Y$6-$AA$17*(1-BR19)</f>
        <v>-11.939999999999955</v>
      </c>
      <c r="R130" s="6" t="s">
        <v>15</v>
      </c>
      <c r="S130" s="1"/>
      <c r="T130" s="1"/>
      <c r="U130" s="1"/>
      <c r="V130" s="1"/>
      <c r="W130" s="1"/>
      <c r="X130" s="1"/>
      <c r="Y130" s="1"/>
      <c r="Z130" s="1"/>
      <c r="AA130" s="11"/>
      <c r="AD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R130" s="1"/>
      <c r="AT130" s="1"/>
      <c r="AU130" s="1"/>
      <c r="AV130" s="1"/>
      <c r="AW130" s="1"/>
      <c r="AX130" s="1"/>
      <c r="AY130" s="1"/>
      <c r="BA130" s="1"/>
      <c r="BB130" s="1"/>
      <c r="BC130" s="1"/>
      <c r="BD130" s="1"/>
      <c r="BE130" s="1"/>
      <c r="BG130" s="1"/>
      <c r="BH130" s="1"/>
      <c r="BI130" s="1"/>
      <c r="BK130" s="1"/>
      <c r="BL130" s="1"/>
      <c r="BM130" s="1"/>
      <c r="BO130" s="1"/>
      <c r="BP130" s="1"/>
      <c r="BR130" s="1"/>
    </row>
    <row r="131" spans="1:70" x14ac:dyDescent="0.3">
      <c r="A131" s="6" t="s">
        <v>15</v>
      </c>
      <c r="B131" s="1"/>
      <c r="C131" s="1"/>
      <c r="D131" s="1"/>
      <c r="E131" s="1"/>
      <c r="F131" s="1"/>
      <c r="G131" s="1"/>
      <c r="H131" s="1"/>
      <c r="I131" s="1"/>
      <c r="J131" s="1"/>
      <c r="AD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R131" s="1"/>
      <c r="AT131" s="1"/>
      <c r="AU131" s="1"/>
      <c r="AV131" s="1"/>
      <c r="AW131" s="1"/>
      <c r="AX131" s="1"/>
      <c r="AY131" s="1"/>
      <c r="BA131" s="1"/>
      <c r="BB131" s="1"/>
      <c r="BC131" s="1"/>
      <c r="BD131" s="1"/>
      <c r="BE131" s="1"/>
      <c r="BG131" s="1"/>
      <c r="BH131" s="1"/>
      <c r="BI131" s="1"/>
      <c r="BK131" s="1"/>
      <c r="BL131" s="1"/>
      <c r="BM131" s="1"/>
      <c r="BO131" s="1"/>
      <c r="BP131" s="1"/>
      <c r="BR131" s="1"/>
    </row>
    <row r="132" spans="1:70" x14ac:dyDescent="0.3">
      <c r="R132" t="s">
        <v>39</v>
      </c>
      <c r="AD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R132" s="1"/>
      <c r="AT132" s="1"/>
      <c r="AU132" s="1"/>
      <c r="AV132" s="1"/>
      <c r="AW132" s="1"/>
      <c r="AX132" s="1"/>
      <c r="AY132" s="1"/>
      <c r="BA132" s="1"/>
      <c r="BB132" s="1"/>
      <c r="BC132" s="1"/>
      <c r="BD132" s="1"/>
      <c r="BE132" s="1"/>
      <c r="BG132" s="1"/>
      <c r="BH132" s="1"/>
      <c r="BI132" s="1"/>
      <c r="BK132" s="1"/>
      <c r="BL132" s="1"/>
      <c r="BM132" s="1"/>
      <c r="BO132" s="1"/>
      <c r="BP132" s="1"/>
      <c r="BR132" s="1"/>
    </row>
    <row r="133" spans="1:70" x14ac:dyDescent="0.3">
      <c r="A133" t="s">
        <v>78</v>
      </c>
      <c r="R133" s="1"/>
      <c r="S133" s="6" t="s">
        <v>1</v>
      </c>
      <c r="T133" s="6" t="s">
        <v>2</v>
      </c>
      <c r="U133" s="6" t="s">
        <v>4</v>
      </c>
      <c r="V133" s="6" t="s">
        <v>6</v>
      </c>
      <c r="W133" s="6" t="s">
        <v>8</v>
      </c>
      <c r="X133" s="6" t="s">
        <v>9</v>
      </c>
      <c r="Y133" s="6" t="s">
        <v>11</v>
      </c>
      <c r="Z133" s="6" t="s">
        <v>13</v>
      </c>
      <c r="AA133" s="6" t="s">
        <v>15</v>
      </c>
      <c r="AD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R133" s="1"/>
      <c r="AT133" s="1"/>
      <c r="AU133" s="1"/>
      <c r="AV133" s="1"/>
      <c r="AW133" s="1"/>
      <c r="AX133" s="1"/>
      <c r="AY133" s="1"/>
      <c r="BA133" s="1"/>
      <c r="BB133" s="1"/>
      <c r="BC133" s="1"/>
      <c r="BD133" s="1"/>
      <c r="BE133" s="1"/>
      <c r="BG133" s="1"/>
      <c r="BH133" s="1"/>
      <c r="BI133" s="1"/>
      <c r="BK133" s="1"/>
      <c r="BL133" s="1"/>
      <c r="BM133" s="1"/>
      <c r="BO133" s="1"/>
      <c r="BP133" s="1"/>
      <c r="BR133" s="1"/>
    </row>
    <row r="134" spans="1:70" x14ac:dyDescent="0.3">
      <c r="A134" s="1"/>
      <c r="B134" s="6" t="s">
        <v>1</v>
      </c>
      <c r="C134" s="6" t="s">
        <v>2</v>
      </c>
      <c r="D134" s="6" t="s">
        <v>4</v>
      </c>
      <c r="E134" s="6" t="s">
        <v>6</v>
      </c>
      <c r="F134" s="6" t="s">
        <v>8</v>
      </c>
      <c r="G134" s="6" t="s">
        <v>9</v>
      </c>
      <c r="H134" s="6" t="s">
        <v>11</v>
      </c>
      <c r="I134" s="6" t="s">
        <v>13</v>
      </c>
      <c r="J134" s="6" t="s">
        <v>15</v>
      </c>
      <c r="R134" s="6" t="s">
        <v>1</v>
      </c>
      <c r="S134" s="1"/>
      <c r="T134" s="1"/>
      <c r="U134" s="1">
        <f>T16-$R$5-$AA$17*(1-AD12)</f>
        <v>-4.25</v>
      </c>
      <c r="V134" s="1">
        <f t="shared" ref="V134:Z134" si="155">U16-$R$5-$AA$17*(1-AE12)</f>
        <v>-3.2400000000000055</v>
      </c>
      <c r="W134" s="1">
        <f t="shared" si="155"/>
        <v>-0.47000000000001219</v>
      </c>
      <c r="X134" s="1">
        <f t="shared" si="155"/>
        <v>-58.71</v>
      </c>
      <c r="Y134" s="1">
        <f t="shared" si="155"/>
        <v>-57.249999999999993</v>
      </c>
      <c r="Z134" s="1">
        <f t="shared" si="155"/>
        <v>-54.809999999999981</v>
      </c>
      <c r="AA134" s="1">
        <f>Z16-$R$5-$AA$17*(1-AJ12)</f>
        <v>-44.529999999999966</v>
      </c>
      <c r="AD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R134" s="1"/>
      <c r="AT134" s="1"/>
      <c r="AU134" s="1"/>
      <c r="AV134" s="1"/>
      <c r="AW134" s="1"/>
      <c r="AX134" s="1"/>
      <c r="AY134" s="1"/>
      <c r="BA134" s="1"/>
      <c r="BB134" s="1"/>
      <c r="BC134" s="1"/>
      <c r="BD134" s="1"/>
      <c r="BE134" s="1"/>
      <c r="BG134" s="1"/>
      <c r="BH134" s="1"/>
      <c r="BI134" s="1"/>
      <c r="BK134" s="1"/>
      <c r="BL134" s="1"/>
      <c r="BM134" s="1"/>
      <c r="BO134" s="1"/>
      <c r="BP134" s="1"/>
      <c r="BR134" s="1"/>
    </row>
    <row r="135" spans="1:70" x14ac:dyDescent="0.3">
      <c r="A135" s="6" t="s">
        <v>1</v>
      </c>
      <c r="B135" s="1"/>
      <c r="C135" s="1"/>
      <c r="D135" s="13">
        <f>T17-$R$6-$AA$17*(1-AD20)</f>
        <v>-5.1400000000000237</v>
      </c>
      <c r="E135" s="13">
        <f t="shared" ref="E135:J135" si="156">U17-$R$6-$AA$17*(1-AE20)</f>
        <v>-4.250000000000024</v>
      </c>
      <c r="F135" s="13">
        <f t="shared" si="156"/>
        <v>-1.0099999999999998</v>
      </c>
      <c r="G135" s="13">
        <f t="shared" si="156"/>
        <v>-58.95</v>
      </c>
      <c r="H135" s="13">
        <f t="shared" si="156"/>
        <v>-56.570000000000022</v>
      </c>
      <c r="I135" s="13">
        <f t="shared" si="156"/>
        <v>-53.029999999999987</v>
      </c>
      <c r="J135" s="13">
        <f t="shared" si="156"/>
        <v>-42.39999999999997</v>
      </c>
      <c r="R135" s="6" t="s">
        <v>2</v>
      </c>
      <c r="S135" s="1"/>
      <c r="T135" s="1"/>
      <c r="U135" s="1">
        <f>T16-$S$5-$AA$17*(1-AL12)</f>
        <v>-7.1400000000000139</v>
      </c>
      <c r="V135" s="1">
        <f t="shared" ref="V135:AA135" si="157">U16-$S$5-$AA$17*(1-AM12)</f>
        <v>-6.1300000000000194</v>
      </c>
      <c r="W135" s="1">
        <f t="shared" si="157"/>
        <v>-3.3600000000000261</v>
      </c>
      <c r="X135" s="1">
        <f t="shared" si="157"/>
        <v>-8.8817841970012523E-15</v>
      </c>
      <c r="Y135" s="1">
        <f t="shared" si="157"/>
        <v>-60.140000000000008</v>
      </c>
      <c r="Z135" s="1">
        <f t="shared" si="157"/>
        <v>-57.699999999999996</v>
      </c>
      <c r="AA135" s="1">
        <f t="shared" si="157"/>
        <v>-47.41999999999998</v>
      </c>
      <c r="AD135" s="1"/>
      <c r="AE135" s="1"/>
      <c r="AF135" s="1"/>
      <c r="AG135" s="1"/>
      <c r="AH135" s="1"/>
      <c r="AI135" s="1"/>
      <c r="AJ135" s="1"/>
      <c r="AL135" s="1"/>
      <c r="AM135" s="1"/>
      <c r="AN135" s="1"/>
      <c r="AO135" s="1"/>
      <c r="AP135" s="1"/>
      <c r="AQ135" s="1"/>
      <c r="AR135" s="1"/>
      <c r="AT135" s="1"/>
      <c r="AU135" s="1"/>
      <c r="AV135" s="1"/>
      <c r="AW135" s="1"/>
      <c r="AX135" s="1"/>
      <c r="AY135" s="1"/>
      <c r="BA135" s="1"/>
      <c r="BB135" s="1"/>
      <c r="BC135" s="1"/>
      <c r="BD135" s="1"/>
      <c r="BE135" s="1"/>
      <c r="BG135" s="1"/>
      <c r="BH135" s="1"/>
      <c r="BI135" s="1"/>
      <c r="BK135" s="1"/>
      <c r="BL135" s="1"/>
      <c r="BM135" s="1"/>
      <c r="BO135" s="1"/>
      <c r="BP135" s="1"/>
      <c r="BR135" s="1"/>
    </row>
    <row r="136" spans="1:70" x14ac:dyDescent="0.3">
      <c r="A136" s="6" t="s">
        <v>2</v>
      </c>
      <c r="B136" s="1"/>
      <c r="C136" s="1"/>
      <c r="D136" s="13">
        <f>T17-$S$6-$AA$17*(1-AL20)</f>
        <v>-8.030000000000042</v>
      </c>
      <c r="E136" s="13">
        <f t="shared" ref="E136:J136" si="158">U17-$S$6-$AA$17*(1-AM20)</f>
        <v>-7.1400000000000423</v>
      </c>
      <c r="F136" s="13">
        <f t="shared" si="158"/>
        <v>-3.9000000000000181</v>
      </c>
      <c r="G136" s="13">
        <f t="shared" si="158"/>
        <v>-0.24000000000001265</v>
      </c>
      <c r="H136" s="13">
        <f t="shared" si="158"/>
        <v>-59.460000000000043</v>
      </c>
      <c r="I136" s="13">
        <f t="shared" si="158"/>
        <v>-55.92</v>
      </c>
      <c r="J136" s="13">
        <f t="shared" si="158"/>
        <v>-45.289999999999992</v>
      </c>
      <c r="R136" s="6" t="s">
        <v>4</v>
      </c>
      <c r="S136" s="1"/>
      <c r="T136" s="1"/>
      <c r="U136" s="1"/>
      <c r="V136" s="1">
        <f>U16-$T$5-$AA$17*(1-AT12)</f>
        <v>-9.7900000000000276</v>
      </c>
      <c r="W136" s="1">
        <f t="shared" ref="W136:AA136" si="159">V16-$T$5-$AA$17*(1-AU12)</f>
        <v>-7.0200000000000333</v>
      </c>
      <c r="X136" s="1">
        <f t="shared" si="159"/>
        <v>-3.6600000000000161</v>
      </c>
      <c r="Y136" s="1">
        <f t="shared" si="159"/>
        <v>-2.2000000000000082</v>
      </c>
      <c r="Z136" s="1">
        <f t="shared" si="159"/>
        <v>-61.360000000000007</v>
      </c>
      <c r="AA136" s="1">
        <f t="shared" si="159"/>
        <v>-51.079999999999984</v>
      </c>
      <c r="AD136" s="1"/>
      <c r="AE136" s="1"/>
      <c r="AF136" s="1"/>
      <c r="AG136" s="1"/>
      <c r="AH136" s="1"/>
      <c r="AI136" s="1"/>
      <c r="AJ136" s="1"/>
      <c r="AL136" s="1"/>
      <c r="AM136" s="1"/>
      <c r="AN136" s="1"/>
      <c r="AO136" s="1"/>
      <c r="AP136" s="1"/>
      <c r="AQ136" s="1"/>
      <c r="AR136" s="1"/>
      <c r="AT136" s="1"/>
      <c r="AU136" s="1"/>
      <c r="AV136" s="1"/>
      <c r="AW136" s="1"/>
      <c r="AX136" s="1"/>
      <c r="AY136" s="1"/>
      <c r="BA136" s="1"/>
      <c r="BB136" s="1"/>
      <c r="BC136" s="1"/>
      <c r="BD136" s="1"/>
      <c r="BE136" s="1"/>
      <c r="BG136" s="1"/>
      <c r="BH136" s="1"/>
      <c r="BI136" s="1"/>
      <c r="BK136" s="1"/>
      <c r="BL136" s="1"/>
      <c r="BM136" s="1"/>
      <c r="BO136" s="1"/>
      <c r="BP136" s="1"/>
      <c r="BR136" s="1"/>
    </row>
    <row r="137" spans="1:70" x14ac:dyDescent="0.3">
      <c r="A137" s="6" t="s">
        <v>4</v>
      </c>
      <c r="B137" s="1"/>
      <c r="C137" s="1"/>
      <c r="D137" s="1"/>
      <c r="E137" s="13">
        <f>U17-$T$6-$AA$17*(1-AT20)</f>
        <v>-10.380000000000038</v>
      </c>
      <c r="F137" s="13">
        <f t="shared" ref="F137:J137" si="160">V17-$T$6-$AA$17*(1-AU20)</f>
        <v>-7.140000000000013</v>
      </c>
      <c r="G137" s="13">
        <f t="shared" si="160"/>
        <v>-3.4800000000000075</v>
      </c>
      <c r="H137" s="13">
        <f t="shared" si="160"/>
        <v>-1.1000000000000298</v>
      </c>
      <c r="I137" s="13">
        <f t="shared" si="160"/>
        <v>-59.16</v>
      </c>
      <c r="J137" s="13">
        <f t="shared" si="160"/>
        <v>-48.529999999999987</v>
      </c>
      <c r="R137" s="6" t="s">
        <v>6</v>
      </c>
      <c r="S137" s="1"/>
      <c r="T137" s="1"/>
      <c r="U137" s="1"/>
      <c r="V137" s="1"/>
      <c r="W137" s="1">
        <f>V16-$U$5-$AA$17*(1-BA12)</f>
        <v>-9.1600000000000392</v>
      </c>
      <c r="X137" s="1">
        <f t="shared" ref="X137:AA137" si="161">W16-$U$5-$AA$17*(1-BB12)</f>
        <v>-5.800000000000022</v>
      </c>
      <c r="Y137" s="1">
        <f t="shared" si="161"/>
        <v>-4.3400000000000141</v>
      </c>
      <c r="Z137" s="1">
        <f t="shared" si="161"/>
        <v>-1.9000000000000021</v>
      </c>
      <c r="AA137" s="1">
        <f t="shared" si="161"/>
        <v>-53.219999999999992</v>
      </c>
      <c r="AD137" s="1"/>
      <c r="AE137" s="1"/>
      <c r="AF137" s="1"/>
      <c r="AG137" s="1"/>
      <c r="AH137" s="1"/>
      <c r="AI137" s="1"/>
      <c r="AJ137" s="1"/>
      <c r="AL137" s="1"/>
      <c r="AM137" s="1"/>
      <c r="AN137" s="1"/>
      <c r="AO137" s="1"/>
      <c r="AP137" s="1"/>
      <c r="AQ137" s="1"/>
      <c r="AR137" s="1"/>
      <c r="AT137" s="1"/>
      <c r="AU137" s="1"/>
      <c r="AV137" s="1"/>
      <c r="AW137" s="1"/>
      <c r="AX137" s="1"/>
      <c r="AY137" s="1"/>
      <c r="BA137" s="1"/>
      <c r="BB137" s="1"/>
      <c r="BC137" s="1"/>
      <c r="BD137" s="1"/>
      <c r="BE137" s="1"/>
      <c r="BG137" s="1"/>
      <c r="BH137" s="1"/>
      <c r="BI137" s="1"/>
      <c r="BK137" s="1"/>
      <c r="BL137" s="1"/>
      <c r="BM137" s="1"/>
      <c r="BO137" s="1"/>
      <c r="BP137" s="1"/>
      <c r="BR137" s="1"/>
    </row>
    <row r="138" spans="1:70" x14ac:dyDescent="0.3">
      <c r="A138" s="6" t="s">
        <v>6</v>
      </c>
      <c r="B138" s="1"/>
      <c r="C138" s="1"/>
      <c r="D138" s="1"/>
      <c r="E138" s="1"/>
      <c r="F138" s="13">
        <f>V17-$U$6-$AA$17*(1-BA20)</f>
        <v>-11.810000000000025</v>
      </c>
      <c r="G138" s="13">
        <f t="shared" ref="G138:J138" si="162">W17-$U$6-$AA$17*(1-BB20)</f>
        <v>-8.1500000000000199</v>
      </c>
      <c r="H138" s="13">
        <f t="shared" si="162"/>
        <v>-5.7700000000000422</v>
      </c>
      <c r="I138" s="13">
        <f t="shared" si="162"/>
        <v>-2.230000000000004</v>
      </c>
      <c r="J138" s="13">
        <f t="shared" si="162"/>
        <v>-53.199999999999996</v>
      </c>
      <c r="R138" s="6" t="s">
        <v>8</v>
      </c>
      <c r="S138" s="1"/>
      <c r="T138" s="1"/>
      <c r="U138" s="1"/>
      <c r="V138" s="1"/>
      <c r="W138" s="1"/>
      <c r="X138" s="1"/>
      <c r="Y138" s="1">
        <f>X16-$V$5-$AA$17*(1-BG12)</f>
        <v>-8.1200000000000259</v>
      </c>
      <c r="Z138" s="1">
        <f t="shared" ref="Z138:AA138" si="163">Y16-$V$5-$AA$17*(1-BH12)</f>
        <v>-5.6800000000000139</v>
      </c>
      <c r="AA138" s="1">
        <f t="shared" si="163"/>
        <v>-57</v>
      </c>
      <c r="AD138" s="1"/>
      <c r="AE138" s="1"/>
      <c r="AF138" s="1"/>
      <c r="AG138" s="1"/>
      <c r="AH138" s="1"/>
      <c r="AI138" s="1"/>
      <c r="AJ138" s="1"/>
      <c r="AL138" s="1"/>
      <c r="AM138" s="1"/>
      <c r="AN138" s="1"/>
      <c r="AO138" s="1"/>
      <c r="AP138" s="1"/>
      <c r="AQ138" s="1"/>
      <c r="AR138" s="1"/>
      <c r="AT138" s="1"/>
      <c r="AU138" s="1"/>
      <c r="AV138" s="1"/>
      <c r="AW138" s="1"/>
      <c r="AX138" s="1"/>
      <c r="AY138" s="1"/>
      <c r="BA138" s="1"/>
      <c r="BB138" s="1"/>
      <c r="BC138" s="1"/>
      <c r="BD138" s="1"/>
      <c r="BE138" s="1"/>
      <c r="BG138" s="1"/>
      <c r="BH138" s="1"/>
      <c r="BI138" s="1"/>
      <c r="BK138" s="1"/>
      <c r="BL138" s="1"/>
      <c r="BM138" s="1"/>
      <c r="BO138" s="1"/>
      <c r="BP138" s="1"/>
      <c r="BR138" s="1"/>
    </row>
    <row r="139" spans="1:70" x14ac:dyDescent="0.3">
      <c r="A139" s="6" t="s">
        <v>8</v>
      </c>
      <c r="B139" s="1"/>
      <c r="C139" s="1"/>
      <c r="D139" s="1"/>
      <c r="E139" s="1"/>
      <c r="F139" s="1"/>
      <c r="G139" s="1"/>
      <c r="H139" s="13">
        <f>X17-$V$6-$AA$17*(1-BG20)</f>
        <v>-10.70000000000006</v>
      </c>
      <c r="I139" s="13">
        <f t="shared" ref="I139:J139" si="164">Y17-$V$6-$AA$17*(1-BH20)</f>
        <v>-7.1600000000000215</v>
      </c>
      <c r="J139" s="13">
        <f t="shared" si="164"/>
        <v>-58.13000000000001</v>
      </c>
      <c r="R139" s="6" t="s">
        <v>9</v>
      </c>
      <c r="S139" s="1"/>
      <c r="T139" s="1"/>
      <c r="U139" s="1"/>
      <c r="V139" s="1"/>
      <c r="W139" s="1"/>
      <c r="X139" s="1"/>
      <c r="Y139" s="1">
        <f>X16-$W$5-$AA$17*(1-BK12)</f>
        <v>-12.840000000000035</v>
      </c>
      <c r="Z139" s="1">
        <f t="shared" ref="Z139:AA139" si="165">Y16-$W$5-$AA$17*(1-BL12)</f>
        <v>-10.400000000000023</v>
      </c>
      <c r="AA139" s="1">
        <f t="shared" si="165"/>
        <v>-0.12000000000000455</v>
      </c>
      <c r="AD139" s="1"/>
      <c r="AE139" s="1"/>
      <c r="AF139" s="1"/>
      <c r="AG139" s="1"/>
      <c r="AH139" s="1"/>
      <c r="AI139" s="1"/>
      <c r="AJ139" s="1"/>
      <c r="AL139" s="1"/>
      <c r="AM139" s="1"/>
      <c r="AN139" s="1"/>
      <c r="AO139" s="1"/>
      <c r="AP139" s="1"/>
      <c r="AQ139" s="1"/>
      <c r="AR139" s="1"/>
      <c r="AT139" s="1"/>
      <c r="AU139" s="1"/>
      <c r="AV139" s="1"/>
      <c r="AW139" s="1"/>
      <c r="AX139" s="1"/>
      <c r="AY139" s="1"/>
      <c r="BA139" s="1"/>
      <c r="BB139" s="1"/>
      <c r="BC139" s="1"/>
      <c r="BD139" s="1"/>
      <c r="BE139" s="1"/>
      <c r="BG139" s="1"/>
      <c r="BH139" s="1"/>
      <c r="BI139" s="1"/>
      <c r="BK139" s="1"/>
      <c r="BL139" s="1"/>
      <c r="BM139" s="1"/>
      <c r="BO139" s="1"/>
      <c r="BP139" s="1"/>
      <c r="BR139" s="1"/>
    </row>
    <row r="140" spans="1:70" x14ac:dyDescent="0.3">
      <c r="A140" s="6" t="s">
        <v>9</v>
      </c>
      <c r="B140" s="1"/>
      <c r="C140" s="1"/>
      <c r="D140" s="1"/>
      <c r="E140" s="1"/>
      <c r="F140" s="1"/>
      <c r="G140" s="1"/>
      <c r="H140" s="13">
        <f>X17-$W$6-$AA$17*(1-BK20)</f>
        <v>-14.170000000000055</v>
      </c>
      <c r="I140" s="13">
        <f t="shared" ref="I140:J140" si="166">Y17-$W$6-$AA$17*(1-BL20)</f>
        <v>-10.630000000000017</v>
      </c>
      <c r="J140" s="13">
        <f t="shared" si="166"/>
        <v>0</v>
      </c>
      <c r="R140" s="6" t="s">
        <v>11</v>
      </c>
      <c r="S140" s="1"/>
      <c r="T140" s="1"/>
      <c r="U140" s="1"/>
      <c r="V140" s="1"/>
      <c r="W140" s="1"/>
      <c r="X140" s="1"/>
      <c r="Y140" s="1"/>
      <c r="Z140" s="1">
        <f>Y16-$X$5-$AA$17*(1-BO12)</f>
        <v>-13.940000000000023</v>
      </c>
      <c r="AA140" s="1">
        <f>Z16-$X$5-$AA$17*(1-BP12)</f>
        <v>-3.6600000000000037</v>
      </c>
      <c r="AD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R140" s="1"/>
      <c r="AT140" s="1"/>
      <c r="AU140" s="1"/>
      <c r="AV140" s="1"/>
      <c r="AW140" s="1"/>
      <c r="AX140" s="1"/>
      <c r="AY140" s="1"/>
      <c r="BA140" s="1"/>
      <c r="BB140" s="1"/>
      <c r="BC140" s="1"/>
      <c r="BD140" s="1"/>
      <c r="BE140" s="1"/>
      <c r="BG140" s="1"/>
      <c r="BH140" s="1"/>
      <c r="BI140" s="1"/>
      <c r="BK140" s="1"/>
      <c r="BL140" s="1"/>
      <c r="BM140" s="1"/>
      <c r="BO140" s="1"/>
      <c r="BP140" s="1"/>
      <c r="BR140" s="1"/>
    </row>
    <row r="141" spans="1:70" x14ac:dyDescent="0.3">
      <c r="A141" s="6" t="s">
        <v>11</v>
      </c>
      <c r="B141" s="1"/>
      <c r="C141" s="1"/>
      <c r="D141" s="1"/>
      <c r="E141" s="1"/>
      <c r="F141" s="1"/>
      <c r="G141" s="1"/>
      <c r="H141" s="1"/>
      <c r="I141" s="13">
        <f>Y17-$X$6-$AA$17*(1-BO20)</f>
        <v>-13.189999999999962</v>
      </c>
      <c r="J141" s="13">
        <f>Z17-$X$6-$AA$17*(1-BP20)</f>
        <v>-2.5599999999999454</v>
      </c>
      <c r="R141" s="6" t="s">
        <v>13</v>
      </c>
      <c r="S141" s="1"/>
      <c r="T141" s="1"/>
      <c r="U141" s="1"/>
      <c r="V141" s="1"/>
      <c r="W141" s="1"/>
      <c r="X141" s="1"/>
      <c r="Y141" s="1"/>
      <c r="Z141" s="1"/>
      <c r="AA141" s="1">
        <f>Z16-$Y$5-$AA$17*(1-BR12)</f>
        <v>-7.2500000000000284</v>
      </c>
      <c r="AD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R141" s="1"/>
      <c r="AT141" s="1"/>
      <c r="AU141" s="1"/>
      <c r="AV141" s="1"/>
      <c r="AW141" s="1"/>
      <c r="AX141" s="1"/>
      <c r="AY141" s="1"/>
      <c r="BA141" s="1"/>
      <c r="BB141" s="1"/>
      <c r="BC141" s="1"/>
      <c r="BD141" s="1"/>
      <c r="BE141" s="1"/>
      <c r="BG141" s="1"/>
      <c r="BH141" s="1"/>
      <c r="BI141" s="1"/>
      <c r="BK141" s="1"/>
      <c r="BL141" s="1"/>
      <c r="BM141" s="1"/>
      <c r="BO141" s="1"/>
      <c r="BP141" s="1"/>
      <c r="BR141" s="1"/>
    </row>
    <row r="142" spans="1:70" x14ac:dyDescent="0.3">
      <c r="A142" s="6" t="s">
        <v>13</v>
      </c>
      <c r="B142" s="1"/>
      <c r="C142" s="1"/>
      <c r="D142" s="1"/>
      <c r="E142" s="1"/>
      <c r="F142" s="1"/>
      <c r="G142" s="1"/>
      <c r="H142" s="1"/>
      <c r="I142" s="1"/>
      <c r="J142" s="13">
        <f>Z17-$Y$6-$AA$17*(1-BR20)</f>
        <v>-5.9099999999999469</v>
      </c>
      <c r="R142" s="6" t="s">
        <v>15</v>
      </c>
      <c r="S142" s="1"/>
      <c r="T142" s="1"/>
      <c r="U142" s="1"/>
      <c r="V142" s="1"/>
      <c r="W142" s="1"/>
      <c r="X142" s="1"/>
      <c r="Y142" s="1"/>
      <c r="Z142" s="1"/>
      <c r="AA142" s="11"/>
      <c r="AD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R142" s="1"/>
      <c r="AT142" s="1"/>
      <c r="AU142" s="1"/>
      <c r="AV142" s="1"/>
      <c r="AW142" s="1"/>
      <c r="AX142" s="1"/>
      <c r="AY142" s="1"/>
      <c r="BA142" s="1"/>
      <c r="BB142" s="1"/>
      <c r="BC142" s="1"/>
      <c r="BD142" s="1"/>
      <c r="BE142" s="1"/>
      <c r="BG142" s="1"/>
      <c r="BH142" s="1"/>
      <c r="BI142" s="1"/>
      <c r="BK142" s="1"/>
      <c r="BL142" s="1"/>
      <c r="BM142" s="1"/>
      <c r="BO142" s="1"/>
      <c r="BP142" s="1"/>
      <c r="BR142" s="1"/>
    </row>
    <row r="143" spans="1:70" x14ac:dyDescent="0.3">
      <c r="A143" s="6" t="s">
        <v>15</v>
      </c>
      <c r="B143" s="1"/>
      <c r="C143" s="1"/>
      <c r="D143" s="1"/>
      <c r="E143" s="1"/>
      <c r="F143" s="1"/>
      <c r="G143" s="1"/>
      <c r="H143" s="1"/>
      <c r="I143" s="1"/>
      <c r="J143" s="1"/>
      <c r="AD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T143" s="1"/>
      <c r="AU143" s="1"/>
      <c r="AV143" s="1"/>
      <c r="AW143" s="1"/>
      <c r="AX143" s="1"/>
      <c r="AY143" s="1"/>
      <c r="BA143" s="1"/>
      <c r="BB143" s="1"/>
      <c r="BC143" s="1"/>
      <c r="BD143" s="1"/>
      <c r="BE143" s="1"/>
      <c r="BG143" s="1"/>
      <c r="BH143" s="1"/>
      <c r="BI143" s="1"/>
      <c r="BK143" s="1"/>
      <c r="BL143" s="1"/>
      <c r="BM143" s="1"/>
      <c r="BO143" s="1"/>
      <c r="BP143" s="1"/>
      <c r="BR143" s="1"/>
    </row>
    <row r="144" spans="1:70" x14ac:dyDescent="0.3">
      <c r="R144" t="s">
        <v>41</v>
      </c>
      <c r="AD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T144" s="1"/>
      <c r="AU144" s="1"/>
      <c r="AV144" s="1"/>
      <c r="AW144" s="1"/>
      <c r="AX144" s="1"/>
      <c r="AY144" s="1"/>
      <c r="BA144" s="1"/>
      <c r="BB144" s="1"/>
      <c r="BC144" s="1"/>
      <c r="BD144" s="1"/>
      <c r="BE144" s="1"/>
      <c r="BG144" s="1"/>
      <c r="BH144" s="1"/>
      <c r="BI144" s="1"/>
      <c r="BK144" s="1"/>
      <c r="BL144" s="1"/>
      <c r="BM144" s="1"/>
      <c r="BO144" s="1"/>
      <c r="BP144" s="1"/>
      <c r="BR144" s="1"/>
    </row>
    <row r="145" spans="1:70" x14ac:dyDescent="0.3">
      <c r="A145" t="s">
        <v>79</v>
      </c>
      <c r="R145" s="1"/>
      <c r="S145" s="6" t="s">
        <v>1</v>
      </c>
      <c r="T145" s="6" t="s">
        <v>2</v>
      </c>
      <c r="U145" s="6" t="s">
        <v>4</v>
      </c>
      <c r="V145" s="6" t="s">
        <v>6</v>
      </c>
      <c r="W145" s="6" t="s">
        <v>8</v>
      </c>
      <c r="X145" s="6" t="s">
        <v>9</v>
      </c>
      <c r="Y145" s="6" t="s">
        <v>11</v>
      </c>
      <c r="Z145" s="6" t="s">
        <v>13</v>
      </c>
      <c r="AA145" s="6" t="s">
        <v>15</v>
      </c>
      <c r="AD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R145" s="1"/>
      <c r="AT145" s="1"/>
      <c r="AU145" s="1"/>
      <c r="AV145" s="1"/>
      <c r="AW145" s="1"/>
      <c r="AX145" s="1"/>
      <c r="AY145" s="1"/>
      <c r="BA145" s="1"/>
      <c r="BB145" s="1"/>
      <c r="BC145" s="1"/>
      <c r="BD145" s="1"/>
      <c r="BE145" s="1"/>
      <c r="BG145" s="1"/>
      <c r="BH145" s="1"/>
      <c r="BI145" s="1"/>
      <c r="BK145" s="1"/>
      <c r="BL145" s="1"/>
      <c r="BM145" s="1"/>
      <c r="BO145" s="1"/>
      <c r="BP145" s="1"/>
      <c r="BR145" s="1"/>
    </row>
    <row r="146" spans="1:70" x14ac:dyDescent="0.3">
      <c r="A146" s="1"/>
      <c r="B146" s="6" t="s">
        <v>1</v>
      </c>
      <c r="C146" s="6" t="s">
        <v>2</v>
      </c>
      <c r="D146" s="6" t="s">
        <v>4</v>
      </c>
      <c r="E146" s="6" t="s">
        <v>6</v>
      </c>
      <c r="F146" s="6" t="s">
        <v>8</v>
      </c>
      <c r="G146" s="6" t="s">
        <v>9</v>
      </c>
      <c r="H146" s="6" t="s">
        <v>11</v>
      </c>
      <c r="I146" s="6" t="s">
        <v>13</v>
      </c>
      <c r="J146" s="6" t="s">
        <v>15</v>
      </c>
      <c r="R146" s="6" t="s">
        <v>1</v>
      </c>
      <c r="S146" s="1"/>
      <c r="T146" s="1"/>
      <c r="U146" s="1">
        <f>T17-$R$5-$AA$17*(1-AD13)</f>
        <v>-1.24000000000001</v>
      </c>
      <c r="V146" s="1">
        <f t="shared" ref="V146:Z146" si="167">U17-$R$5-$AA$17*(1-AE13)</f>
        <v>-0.3500000000000103</v>
      </c>
      <c r="W146" s="1">
        <f t="shared" si="167"/>
        <v>-58.709999999999994</v>
      </c>
      <c r="X146" s="1">
        <f t="shared" si="167"/>
        <v>-55.04999999999999</v>
      </c>
      <c r="Y146" s="1">
        <f t="shared" si="167"/>
        <v>-52.670000000000016</v>
      </c>
      <c r="Z146" s="1">
        <f t="shared" si="167"/>
        <v>-49.129999999999974</v>
      </c>
      <c r="AA146" s="1">
        <f>Z17-$R$5-$AA$17*(1-AJ13)</f>
        <v>-38.499999999999957</v>
      </c>
    </row>
    <row r="147" spans="1:70" x14ac:dyDescent="0.3">
      <c r="A147" s="6" t="s">
        <v>1</v>
      </c>
      <c r="B147" s="1"/>
      <c r="C147" s="1"/>
      <c r="D147" s="13">
        <f>T18-$R$6-$AA$17*(1-AD21)</f>
        <v>-2.4400000000000137</v>
      </c>
      <c r="E147" s="13">
        <f t="shared" ref="E147:J147" si="168">U18-$R$6-$AA$17*(1-AE21)</f>
        <v>-5.3290705182007514E-15</v>
      </c>
      <c r="F147" s="13">
        <f t="shared" si="168"/>
        <v>-58.709999999999994</v>
      </c>
      <c r="G147" s="13">
        <f t="shared" si="168"/>
        <v>-53.149999999999991</v>
      </c>
      <c r="H147" s="13">
        <f t="shared" si="168"/>
        <v>-48.309999999999974</v>
      </c>
      <c r="I147" s="13">
        <f t="shared" si="168"/>
        <v>-45.870000000000026</v>
      </c>
      <c r="J147" s="13">
        <f t="shared" si="168"/>
        <v>-36.490000000000023</v>
      </c>
      <c r="R147" s="6" t="s">
        <v>2</v>
      </c>
      <c r="S147" s="1"/>
      <c r="T147" s="1"/>
      <c r="U147" s="1">
        <f>T17-$S$5-$AA$17*(1-AL13)</f>
        <v>-4.1300000000000239</v>
      </c>
      <c r="V147" s="1">
        <f t="shared" ref="V147:AA147" si="169">U17-$S$5-$AA$17*(1-AM13)</f>
        <v>-3.2400000000000242</v>
      </c>
      <c r="W147" s="1">
        <f t="shared" si="169"/>
        <v>0</v>
      </c>
      <c r="X147" s="1">
        <f t="shared" si="169"/>
        <v>-57.940000000000005</v>
      </c>
      <c r="Y147" s="1">
        <f t="shared" si="169"/>
        <v>-55.560000000000024</v>
      </c>
      <c r="Z147" s="1">
        <f t="shared" si="169"/>
        <v>-52.019999999999989</v>
      </c>
      <c r="AA147" s="1">
        <f t="shared" si="169"/>
        <v>-41.389999999999972</v>
      </c>
    </row>
    <row r="148" spans="1:70" x14ac:dyDescent="0.3">
      <c r="A148" s="6" t="s">
        <v>2</v>
      </c>
      <c r="B148" s="1"/>
      <c r="C148" s="1"/>
      <c r="D148" s="13">
        <f>T18-$S$6-$AA$17*(1-AL21)</f>
        <v>-5.330000000000032</v>
      </c>
      <c r="E148" s="13">
        <f t="shared" ref="E148:J148" si="170">U18-$S$6-$AA$17*(1-AM21)</f>
        <v>-2.8900000000000237</v>
      </c>
      <c r="F148" s="13">
        <f t="shared" si="170"/>
        <v>-1.7763568394002505E-15</v>
      </c>
      <c r="G148" s="13">
        <f t="shared" si="170"/>
        <v>-56.040000000000006</v>
      </c>
      <c r="H148" s="13">
        <f t="shared" si="170"/>
        <v>-51.199999999999996</v>
      </c>
      <c r="I148" s="13">
        <f t="shared" si="170"/>
        <v>-48.760000000000048</v>
      </c>
      <c r="J148" s="13">
        <f t="shared" si="170"/>
        <v>-39.380000000000038</v>
      </c>
      <c r="R148" s="6" t="s">
        <v>4</v>
      </c>
      <c r="S148" s="1"/>
      <c r="T148" s="1"/>
      <c r="U148" s="1"/>
      <c r="V148" s="1">
        <f>U17-$T$5-$AA$17*(1-AT13)</f>
        <v>-6.9000000000000314</v>
      </c>
      <c r="W148" s="1">
        <f t="shared" ref="W148:AA148" si="171">V17-$T$5-$AA$17*(1-AU13)</f>
        <v>-3.6600000000000072</v>
      </c>
      <c r="X148" s="1">
        <f t="shared" si="171"/>
        <v>-1.7763568394002505E-15</v>
      </c>
      <c r="Y148" s="1">
        <f t="shared" si="171"/>
        <v>-59.220000000000034</v>
      </c>
      <c r="Z148" s="1">
        <f t="shared" si="171"/>
        <v>-55.679999999999993</v>
      </c>
      <c r="AA148" s="1">
        <f t="shared" si="171"/>
        <v>-45.049999999999976</v>
      </c>
    </row>
    <row r="149" spans="1:70" x14ac:dyDescent="0.3">
      <c r="A149" s="6" t="s">
        <v>4</v>
      </c>
      <c r="B149" s="1"/>
      <c r="C149" s="1"/>
      <c r="D149" s="1"/>
      <c r="E149" s="13">
        <f>U18-$T$6-$AA$17*(1-AT21)</f>
        <v>-6.1300000000000185</v>
      </c>
      <c r="F149" s="13">
        <f t="shared" ref="F149:J149" si="172">V18-$T$6-$AA$17*(1-AU21)</f>
        <v>-3.2399999999999967</v>
      </c>
      <c r="G149" s="13">
        <f t="shared" si="172"/>
        <v>-59.28</v>
      </c>
      <c r="H149" s="13">
        <f t="shared" si="172"/>
        <v>-54.439999999999991</v>
      </c>
      <c r="I149" s="13">
        <f t="shared" si="172"/>
        <v>-52.000000000000043</v>
      </c>
      <c r="J149" s="13">
        <f t="shared" si="172"/>
        <v>-42.620000000000033</v>
      </c>
      <c r="R149" s="6" t="s">
        <v>6</v>
      </c>
      <c r="S149" s="1"/>
      <c r="T149" s="1"/>
      <c r="U149" s="1"/>
      <c r="V149" s="1"/>
      <c r="W149" s="1">
        <f>V17-$U$5-$AA$17*(1-BA13)</f>
        <v>-5.8000000000000131</v>
      </c>
      <c r="X149" s="1">
        <f t="shared" ref="X149:AA149" si="173">W17-$U$5-$AA$17*(1-BB13)</f>
        <v>-2.1400000000000077</v>
      </c>
      <c r="Y149" s="1">
        <f>X17-$U$5-$AA$17*(1-BC13)</f>
        <v>-61.360000000000042</v>
      </c>
      <c r="Z149" s="1">
        <f t="shared" si="173"/>
        <v>-57.82</v>
      </c>
      <c r="AA149" s="1">
        <f t="shared" si="173"/>
        <v>-47.189999999999984</v>
      </c>
    </row>
    <row r="150" spans="1:70" x14ac:dyDescent="0.3">
      <c r="A150" s="6" t="s">
        <v>6</v>
      </c>
      <c r="B150" s="1"/>
      <c r="C150" s="1"/>
      <c r="D150" s="1"/>
      <c r="E150" s="1"/>
      <c r="F150" s="13">
        <f>V18-$U$6-$AA$17*(1-BA21)</f>
        <v>-7.910000000000009</v>
      </c>
      <c r="G150" s="13">
        <f t="shared" ref="G150:J150" si="174">W18-$U$6-$AA$17*(1-BB21)</f>
        <v>-2.3500000000000085</v>
      </c>
      <c r="H150" s="13">
        <f t="shared" si="174"/>
        <v>-59.11</v>
      </c>
      <c r="I150" s="13">
        <f t="shared" si="174"/>
        <v>-56.670000000000051</v>
      </c>
      <c r="J150" s="13">
        <f t="shared" si="174"/>
        <v>-47.290000000000049</v>
      </c>
      <c r="R150" s="6" t="s">
        <v>8</v>
      </c>
      <c r="S150" s="1"/>
      <c r="T150" s="1"/>
      <c r="U150" s="1"/>
      <c r="V150" s="1"/>
      <c r="W150" s="1"/>
      <c r="X150" s="1"/>
      <c r="Y150" s="1">
        <f>X17-$V$5-$AA$17*(1-BG13)</f>
        <v>-3.5400000000000418</v>
      </c>
      <c r="Z150" s="1">
        <f t="shared" ref="Z150:AA150" si="175">Y17-$V$5-$AA$17*(1-BH13)</f>
        <v>-3.5527136788005009E-15</v>
      </c>
      <c r="AA150" s="1">
        <f t="shared" si="175"/>
        <v>-50.97</v>
      </c>
    </row>
    <row r="151" spans="1:70" x14ac:dyDescent="0.3">
      <c r="A151" s="6" t="s">
        <v>8</v>
      </c>
      <c r="B151" s="1"/>
      <c r="C151" s="1"/>
      <c r="D151" s="1"/>
      <c r="E151" s="1"/>
      <c r="F151" s="1"/>
      <c r="G151" s="1"/>
      <c r="H151" s="13">
        <f>X18-$V$6-$AA$17*(1-BG21)</f>
        <v>-2.4400000000000119</v>
      </c>
      <c r="I151" s="13">
        <f t="shared" ref="I151:J151" si="176">Y18-$V$6-$AA$17*(1-BH21)</f>
        <v>-6.0396132539608516E-14</v>
      </c>
      <c r="J151" s="13">
        <f t="shared" si="176"/>
        <v>-52.22000000000007</v>
      </c>
      <c r="R151" s="6" t="s">
        <v>9</v>
      </c>
      <c r="S151" s="1"/>
      <c r="T151" s="1"/>
      <c r="U151" s="1"/>
      <c r="V151" s="1"/>
      <c r="W151" s="1"/>
      <c r="X151" s="1"/>
      <c r="Y151" s="1">
        <f>X17-$W$5-$AA$17*(1-BK13)</f>
        <v>-8.2600000000000513</v>
      </c>
      <c r="Z151" s="1">
        <f t="shared" ref="Z151:AA151" si="177">Y17-$W$5-$AA$17*(1-BL13)</f>
        <v>-4.7200000000000131</v>
      </c>
      <c r="AA151" s="1">
        <f t="shared" si="177"/>
        <v>-55.690000000000005</v>
      </c>
    </row>
    <row r="152" spans="1:70" x14ac:dyDescent="0.3">
      <c r="A152" s="6" t="s">
        <v>9</v>
      </c>
      <c r="B152" s="1"/>
      <c r="C152" s="1"/>
      <c r="D152" s="1"/>
      <c r="E152" s="1"/>
      <c r="F152" s="1"/>
      <c r="G152" s="1"/>
      <c r="H152" s="13">
        <f>X18-$W$6-$AA$17*(1-BK21)</f>
        <v>-5.9100000000000072</v>
      </c>
      <c r="I152" s="13">
        <f t="shared" ref="I152:J152" si="178">Y18-$W$6-$AA$17*(1-BL21)</f>
        <v>-3.4700000000000557</v>
      </c>
      <c r="J152" s="13">
        <f t="shared" si="178"/>
        <v>-55.690000000000062</v>
      </c>
      <c r="R152" s="6" t="s">
        <v>11</v>
      </c>
      <c r="S152" s="1"/>
      <c r="T152" s="1"/>
      <c r="U152" s="1"/>
      <c r="V152" s="1"/>
      <c r="W152" s="1"/>
      <c r="X152" s="1"/>
      <c r="Y152" s="1"/>
      <c r="Z152" s="1">
        <f>Y17-$X$5-$AA$17*(1-BO13)</f>
        <v>-8.2600000000000122</v>
      </c>
      <c r="AA152" s="1">
        <f>Z17-$X$5-$AA$17*(1-BP13)</f>
        <v>-59.230000000000004</v>
      </c>
    </row>
    <row r="153" spans="1:70" x14ac:dyDescent="0.3">
      <c r="A153" s="6" t="s">
        <v>11</v>
      </c>
      <c r="B153" s="1"/>
      <c r="C153" s="1"/>
      <c r="D153" s="1"/>
      <c r="E153" s="1"/>
      <c r="F153" s="1"/>
      <c r="G153" s="1"/>
      <c r="H153" s="1"/>
      <c r="I153" s="13">
        <f>Y18-$X$6-$AA$17*(1-BO21)</f>
        <v>-6.0300000000000011</v>
      </c>
      <c r="J153" s="13">
        <f>Z18-$X$6-$AA$17*(1-BP21)</f>
        <v>-58.250000000000007</v>
      </c>
      <c r="R153" s="6" t="s">
        <v>13</v>
      </c>
      <c r="S153" s="1"/>
      <c r="T153" s="1"/>
      <c r="U153" s="1"/>
      <c r="V153" s="1"/>
      <c r="W153" s="1"/>
      <c r="X153" s="1"/>
      <c r="Y153" s="1"/>
      <c r="Z153" s="1"/>
      <c r="AA153" s="1">
        <f>Z17-$Y$5-$AA$17*(1-BR13)</f>
        <v>-1.2200000000000202</v>
      </c>
    </row>
    <row r="154" spans="1:70" x14ac:dyDescent="0.3">
      <c r="A154" s="6" t="s">
        <v>13</v>
      </c>
      <c r="B154" s="1"/>
      <c r="C154" s="1"/>
      <c r="D154" s="1"/>
      <c r="E154" s="1"/>
      <c r="F154" s="1"/>
      <c r="G154" s="1"/>
      <c r="H154" s="1"/>
      <c r="I154" s="1"/>
      <c r="J154" s="13">
        <f>Z18-$Y$6-$AA$17*(1-BR21)</f>
        <v>0</v>
      </c>
      <c r="R154" s="6" t="s">
        <v>15</v>
      </c>
      <c r="S154" s="1"/>
      <c r="T154" s="1"/>
      <c r="U154" s="1"/>
      <c r="V154" s="1"/>
      <c r="W154" s="1"/>
      <c r="X154" s="1"/>
      <c r="Y154" s="1"/>
      <c r="Z154" s="1"/>
      <c r="AA154" s="11"/>
    </row>
    <row r="155" spans="1:70" x14ac:dyDescent="0.3">
      <c r="A155" s="6" t="s">
        <v>15</v>
      </c>
      <c r="B155" s="1"/>
      <c r="C155" s="1"/>
      <c r="D155" s="1"/>
      <c r="E155" s="1"/>
      <c r="F155" s="1"/>
      <c r="G155" s="1"/>
      <c r="H155" s="1"/>
      <c r="I155" s="1"/>
      <c r="J155" s="1"/>
    </row>
    <row r="157" spans="1:70" x14ac:dyDescent="0.3">
      <c r="A157" t="s">
        <v>80</v>
      </c>
      <c r="R157" t="s">
        <v>42</v>
      </c>
    </row>
    <row r="158" spans="1:70" x14ac:dyDescent="0.3">
      <c r="A158" s="1"/>
      <c r="B158" s="6" t="s">
        <v>1</v>
      </c>
      <c r="C158" s="6" t="s">
        <v>2</v>
      </c>
      <c r="D158" s="6" t="s">
        <v>4</v>
      </c>
      <c r="E158" s="6" t="s">
        <v>6</v>
      </c>
      <c r="F158" s="6" t="s">
        <v>8</v>
      </c>
      <c r="G158" s="6" t="s">
        <v>9</v>
      </c>
      <c r="H158" s="6" t="s">
        <v>11</v>
      </c>
      <c r="I158" s="6" t="s">
        <v>13</v>
      </c>
      <c r="J158" s="6" t="s">
        <v>15</v>
      </c>
      <c r="R158" s="1"/>
      <c r="S158" s="6" t="s">
        <v>1</v>
      </c>
      <c r="T158" s="6" t="s">
        <v>2</v>
      </c>
      <c r="U158" s="6" t="s">
        <v>4</v>
      </c>
      <c r="V158" s="6" t="s">
        <v>6</v>
      </c>
      <c r="W158" s="6" t="s">
        <v>8</v>
      </c>
      <c r="X158" s="6" t="s">
        <v>9</v>
      </c>
      <c r="Y158" s="6" t="s">
        <v>11</v>
      </c>
      <c r="Z158" s="6" t="s">
        <v>13</v>
      </c>
      <c r="AA158" s="6" t="s">
        <v>15</v>
      </c>
    </row>
    <row r="159" spans="1:70" x14ac:dyDescent="0.3">
      <c r="A159" s="6" t="s">
        <v>1</v>
      </c>
      <c r="B159" s="1"/>
      <c r="C159" s="1"/>
      <c r="D159" s="13">
        <f>T19-$R$6-$AA$17*(1-AD22)</f>
        <v>-58.83</v>
      </c>
      <c r="E159" s="13">
        <f t="shared" ref="E159:J159" si="179">U19-$R$6-$AA$17*(1-AE22)</f>
        <v>-56.69</v>
      </c>
      <c r="F159" s="13">
        <f t="shared" si="179"/>
        <v>-53.029999999999987</v>
      </c>
      <c r="G159" s="13">
        <f t="shared" si="179"/>
        <v>-46.109999999999971</v>
      </c>
      <c r="H159" s="13">
        <f t="shared" si="179"/>
        <v>-44.649999999999977</v>
      </c>
      <c r="I159" s="13">
        <f t="shared" si="179"/>
        <v>-41.059999999999953</v>
      </c>
      <c r="J159" s="13">
        <f t="shared" si="179"/>
        <v>-34.119999999999933</v>
      </c>
      <c r="R159" s="6" t="s">
        <v>1</v>
      </c>
      <c r="S159" s="1"/>
      <c r="T159" s="1"/>
      <c r="U159" s="1">
        <f>T18-$R$5-$AA$17*(1-AD14)</f>
        <v>-60.140000000000008</v>
      </c>
      <c r="V159" s="1">
        <f t="shared" ref="V159:Z159" si="180">U18-$R$5-$AA$17*(1-AE14)</f>
        <v>-57.7</v>
      </c>
      <c r="W159" s="1">
        <f t="shared" si="180"/>
        <v>-54.809999999999981</v>
      </c>
      <c r="X159" s="1">
        <f t="shared" si="180"/>
        <v>-49.249999999999979</v>
      </c>
      <c r="Y159" s="1">
        <f t="shared" si="180"/>
        <v>-44.409999999999968</v>
      </c>
      <c r="Z159" s="1">
        <f t="shared" si="180"/>
        <v>-41.970000000000013</v>
      </c>
      <c r="AA159" s="1">
        <f>Z18-$R$5-$AA$17*(1-AJ14)</f>
        <v>-32.590000000000011</v>
      </c>
    </row>
    <row r="160" spans="1:70" x14ac:dyDescent="0.3">
      <c r="A160" s="6" t="s">
        <v>2</v>
      </c>
      <c r="B160" s="1"/>
      <c r="C160" s="1"/>
      <c r="D160" s="13">
        <f>T19-$S$6-$AA$17*(1-AL22)</f>
        <v>-0.12000000000001165</v>
      </c>
      <c r="E160" s="13">
        <f t="shared" ref="E160:J160" si="181">U19-$S$6-$AA$17*(1-AM22)</f>
        <v>-59.580000000000013</v>
      </c>
      <c r="F160" s="13">
        <f t="shared" si="181"/>
        <v>-55.92</v>
      </c>
      <c r="G160" s="13">
        <f t="shared" si="181"/>
        <v>-48.999999999999993</v>
      </c>
      <c r="H160" s="13">
        <f t="shared" si="181"/>
        <v>-47.539999999999992</v>
      </c>
      <c r="I160" s="13">
        <f t="shared" si="181"/>
        <v>-43.949999999999974</v>
      </c>
      <c r="J160" s="13">
        <f t="shared" si="181"/>
        <v>-37.009999999999948</v>
      </c>
      <c r="R160" s="6" t="s">
        <v>2</v>
      </c>
      <c r="S160" s="1"/>
      <c r="T160" s="1"/>
      <c r="U160" s="1">
        <f>T18-$S$5-$AA$17*(1-AL14)</f>
        <v>-1.4300000000000139</v>
      </c>
      <c r="V160" s="1">
        <f t="shared" ref="V160:AA160" si="182">U18-$S$5-$AA$17*(1-AM14)</f>
        <v>-60.590000000000018</v>
      </c>
      <c r="W160" s="1">
        <f t="shared" si="182"/>
        <v>-57.699999999999989</v>
      </c>
      <c r="X160" s="1">
        <f t="shared" si="182"/>
        <v>-52.139999999999993</v>
      </c>
      <c r="Y160" s="1">
        <f t="shared" si="182"/>
        <v>-47.299999999999976</v>
      </c>
      <c r="Z160" s="1">
        <f t="shared" si="182"/>
        <v>-44.860000000000028</v>
      </c>
      <c r="AA160" s="1">
        <f t="shared" si="182"/>
        <v>-35.480000000000025</v>
      </c>
    </row>
    <row r="161" spans="1:27" x14ac:dyDescent="0.3">
      <c r="A161" s="6" t="s">
        <v>4</v>
      </c>
      <c r="B161" s="1"/>
      <c r="C161" s="1"/>
      <c r="D161" s="1"/>
      <c r="E161" s="13">
        <f>U19-$T$6-$AA$17*(1-AT22)</f>
        <v>-1.2199999999999989</v>
      </c>
      <c r="F161" s="13">
        <f t="shared" ref="F161:J161" si="183">V19-$T$6-$AA$17*(1-AU22)</f>
        <v>-59.16</v>
      </c>
      <c r="G161" s="13">
        <f t="shared" si="183"/>
        <v>-52.239999999999988</v>
      </c>
      <c r="H161" s="13">
        <f t="shared" si="183"/>
        <v>-50.779999999999987</v>
      </c>
      <c r="I161" s="13">
        <f t="shared" si="183"/>
        <v>-47.189999999999969</v>
      </c>
      <c r="J161" s="13">
        <f t="shared" si="183"/>
        <v>-40.249999999999943</v>
      </c>
      <c r="R161" s="6" t="s">
        <v>4</v>
      </c>
      <c r="S161" s="1"/>
      <c r="T161" s="1"/>
      <c r="U161" s="1"/>
      <c r="V161" s="1">
        <f>U18-$T$5-$AA$17*(1-AT14)</f>
        <v>-2.6500000000000128</v>
      </c>
      <c r="W161" s="1">
        <f>V18-$T$5-$AA$17*(1-AU14)</f>
        <v>-61.36</v>
      </c>
      <c r="X161" s="1">
        <f t="shared" ref="X161:AA161" si="184">W18-$T$5-$AA$17*(1-AV14)</f>
        <v>-55.8</v>
      </c>
      <c r="Y161" s="1">
        <f t="shared" si="184"/>
        <v>-50.959999999999987</v>
      </c>
      <c r="Z161" s="1">
        <f t="shared" si="184"/>
        <v>-48.520000000000032</v>
      </c>
      <c r="AA161" s="1">
        <f t="shared" si="184"/>
        <v>-39.140000000000029</v>
      </c>
    </row>
    <row r="162" spans="1:27" x14ac:dyDescent="0.3">
      <c r="A162" s="6" t="s">
        <v>6</v>
      </c>
      <c r="B162" s="1"/>
      <c r="C162" s="1"/>
      <c r="D162" s="1"/>
      <c r="E162" s="1"/>
      <c r="F162" s="13">
        <f>V19-$U$6-$AA$17*(1-BA22)</f>
        <v>-2.2300000000000004</v>
      </c>
      <c r="G162" s="13">
        <f t="shared" ref="G162:J162" si="185">W19-$U$6-$AA$17*(1-BB22)</f>
        <v>-56.91</v>
      </c>
      <c r="H162" s="13">
        <f t="shared" si="185"/>
        <v>-55.45</v>
      </c>
      <c r="I162" s="13">
        <f t="shared" si="185"/>
        <v>-51.859999999999978</v>
      </c>
      <c r="J162" s="13">
        <f t="shared" si="185"/>
        <v>-44.919999999999959</v>
      </c>
      <c r="R162" s="6" t="s">
        <v>6</v>
      </c>
      <c r="S162" s="1"/>
      <c r="T162" s="1"/>
      <c r="U162" s="1"/>
      <c r="V162" s="1"/>
      <c r="W162" s="1">
        <f>V18-$U$5-$AA$17*(1-BA14)</f>
        <v>-1.8999999999999968</v>
      </c>
      <c r="X162" s="1">
        <f t="shared" ref="X162:AA162" si="186">W18-$U$5-$AA$17*(1-BB14)</f>
        <v>-57.940000000000005</v>
      </c>
      <c r="Y162" s="1">
        <f>X18-$U$5-$AA$17*(1-BC14)</f>
        <v>-53.099999999999994</v>
      </c>
      <c r="Z162" s="1">
        <f t="shared" si="186"/>
        <v>-50.660000000000039</v>
      </c>
      <c r="AA162" s="1">
        <f t="shared" si="186"/>
        <v>-41.280000000000037</v>
      </c>
    </row>
    <row r="163" spans="1:27" x14ac:dyDescent="0.3">
      <c r="A163" s="6" t="s">
        <v>8</v>
      </c>
      <c r="B163" s="1"/>
      <c r="C163" s="1"/>
      <c r="D163" s="1"/>
      <c r="E163" s="1"/>
      <c r="F163" s="1"/>
      <c r="G163" s="1"/>
      <c r="H163" s="13">
        <f>X19-$V$6-$AA$17*(1-BG22)</f>
        <v>-60.380000000000017</v>
      </c>
      <c r="I163" s="13">
        <f t="shared" ref="I163:J163" si="187">Y19-$V$6-$AA$17*(1-BH22)</f>
        <v>-56.789999999999992</v>
      </c>
      <c r="J163" s="13">
        <f t="shared" si="187"/>
        <v>-49.84999999999998</v>
      </c>
      <c r="R163" s="6" t="s">
        <v>8</v>
      </c>
      <c r="S163" s="1"/>
      <c r="T163" s="1"/>
      <c r="U163" s="1"/>
      <c r="V163" s="1"/>
      <c r="W163" s="1"/>
      <c r="X163" s="1"/>
      <c r="Y163" s="1">
        <f>X18-$V$5-$AA$17*(1-BG14)</f>
        <v>-56.88</v>
      </c>
      <c r="Z163" s="1">
        <f t="shared" ref="Z163:AA163" si="188">Y18-$V$5-$AA$17*(1-BH14)</f>
        <v>-54.440000000000055</v>
      </c>
      <c r="AA163" s="1">
        <f t="shared" si="188"/>
        <v>-45.060000000000045</v>
      </c>
    </row>
    <row r="164" spans="1:27" x14ac:dyDescent="0.3">
      <c r="A164" s="6" t="s">
        <v>9</v>
      </c>
      <c r="B164" s="1"/>
      <c r="C164" s="1"/>
      <c r="D164" s="1"/>
      <c r="E164" s="1"/>
      <c r="F164" s="1"/>
      <c r="G164" s="1"/>
      <c r="H164" s="13">
        <f>X19-$W$6-$AA$17*(1-BK22)</f>
        <v>-2.2500000000000036</v>
      </c>
      <c r="I164" s="13">
        <f t="shared" ref="I164:J164" si="189">Y19-$W$6-$AA$17*(1-BL22)</f>
        <v>-60.259999999999991</v>
      </c>
      <c r="J164" s="13">
        <f t="shared" si="189"/>
        <v>-53.319999999999972</v>
      </c>
      <c r="R164" s="6" t="s">
        <v>9</v>
      </c>
      <c r="S164" s="1"/>
      <c r="T164" s="1"/>
      <c r="U164" s="1"/>
      <c r="V164" s="1"/>
      <c r="W164" s="1"/>
      <c r="X164" s="1"/>
      <c r="Y164" s="1">
        <f>X18-$W$5-$AA$17*(1-BK14)</f>
        <v>-3.5527136788005009E-15</v>
      </c>
      <c r="Z164" s="1">
        <f t="shared" ref="Z164" si="190">Y18-$W$5-$AA$17*(1-BL14)</f>
        <v>-59.160000000000061</v>
      </c>
      <c r="AA164" s="1">
        <f>Z18-$W$5-$AA$17*(1-BM14)</f>
        <v>-49.780000000000058</v>
      </c>
    </row>
    <row r="165" spans="1:27" x14ac:dyDescent="0.3">
      <c r="A165" s="6" t="s">
        <v>11</v>
      </c>
      <c r="B165" s="1"/>
      <c r="C165" s="1"/>
      <c r="D165" s="1"/>
      <c r="E165" s="1"/>
      <c r="F165" s="1"/>
      <c r="G165" s="1"/>
      <c r="H165" s="1"/>
      <c r="I165" s="13">
        <f>Y19-$X$6-$AA$17*(1-BO22)</f>
        <v>-1.2199999999999278</v>
      </c>
      <c r="J165" s="13">
        <f>Z19-$X$6-$AA$17*(1-BP22)</f>
        <v>-55.879999999999917</v>
      </c>
      <c r="R165" s="6" t="s">
        <v>11</v>
      </c>
      <c r="S165" s="1"/>
      <c r="T165" s="1"/>
      <c r="U165" s="1"/>
      <c r="V165" s="1"/>
      <c r="W165" s="1"/>
      <c r="X165" s="1"/>
      <c r="Y165" s="1"/>
      <c r="Z165" s="1">
        <f>Y18-$X$5-$AA$17*(1-BO14)</f>
        <v>-1.1000000000000512</v>
      </c>
      <c r="AA165" s="1">
        <f>Z18-$X$5-$AA$17*(1-BP14)</f>
        <v>-53.320000000000057</v>
      </c>
    </row>
    <row r="166" spans="1:27" x14ac:dyDescent="0.3">
      <c r="A166" s="6" t="s">
        <v>13</v>
      </c>
      <c r="B166" s="1"/>
      <c r="C166" s="1"/>
      <c r="D166" s="1"/>
      <c r="E166" s="1"/>
      <c r="F166" s="1"/>
      <c r="G166" s="1"/>
      <c r="H166" s="1"/>
      <c r="I166" s="1"/>
      <c r="J166" s="13">
        <f>Z19-$Y$6-$AA$17*(1-BR22)</f>
        <v>-59.229999999999919</v>
      </c>
      <c r="R166" s="6" t="s">
        <v>13</v>
      </c>
      <c r="S166" s="1"/>
      <c r="T166" s="1"/>
      <c r="U166" s="1"/>
      <c r="V166" s="1"/>
      <c r="W166" s="1"/>
      <c r="X166" s="1"/>
      <c r="Y166" s="1"/>
      <c r="Z166" s="1"/>
      <c r="AA166" s="1">
        <f>Z18-$Y$5-$AA$17*(1-BR14)</f>
        <v>-56.910000000000082</v>
      </c>
    </row>
    <row r="167" spans="1:27" x14ac:dyDescent="0.3">
      <c r="A167" s="6" t="s">
        <v>15</v>
      </c>
      <c r="B167" s="1"/>
      <c r="C167" s="1"/>
      <c r="D167" s="1"/>
      <c r="E167" s="1"/>
      <c r="F167" s="1"/>
      <c r="G167" s="1"/>
      <c r="H167" s="1"/>
      <c r="I167" s="1"/>
      <c r="J167" s="1"/>
      <c r="R167" s="6" t="s">
        <v>15</v>
      </c>
      <c r="S167" s="1"/>
      <c r="T167" s="1"/>
      <c r="U167" s="1"/>
      <c r="V167" s="1"/>
      <c r="W167" s="1"/>
      <c r="X167" s="1"/>
      <c r="Y167" s="1"/>
      <c r="Z167" s="1"/>
      <c r="AA167" s="11"/>
    </row>
    <row r="170" spans="1:27" x14ac:dyDescent="0.3">
      <c r="B170" t="s">
        <v>93</v>
      </c>
      <c r="M170" t="s">
        <v>93</v>
      </c>
    </row>
    <row r="171" spans="1:27" x14ac:dyDescent="0.3">
      <c r="B171" t="s">
        <v>83</v>
      </c>
      <c r="M171" t="s">
        <v>83</v>
      </c>
    </row>
    <row r="172" spans="1:27" x14ac:dyDescent="0.3">
      <c r="B172" s="6" t="s">
        <v>1</v>
      </c>
      <c r="C172" s="6" t="s">
        <v>2</v>
      </c>
      <c r="D172" s="6" t="s">
        <v>4</v>
      </c>
      <c r="E172" s="6" t="s">
        <v>6</v>
      </c>
      <c r="F172" s="6" t="s">
        <v>8</v>
      </c>
      <c r="G172" s="6" t="s">
        <v>9</v>
      </c>
      <c r="H172" s="6" t="s">
        <v>11</v>
      </c>
      <c r="I172" s="6" t="s">
        <v>13</v>
      </c>
      <c r="J172" s="6" t="s">
        <v>15</v>
      </c>
      <c r="M172" s="6" t="s">
        <v>1</v>
      </c>
      <c r="N172" s="6" t="s">
        <v>2</v>
      </c>
      <c r="O172" s="6" t="s">
        <v>4</v>
      </c>
      <c r="P172" s="6" t="s">
        <v>6</v>
      </c>
      <c r="Q172" s="6" t="s">
        <v>8</v>
      </c>
      <c r="R172" s="6" t="s">
        <v>9</v>
      </c>
      <c r="S172" s="6" t="s">
        <v>11</v>
      </c>
      <c r="T172" s="6" t="s">
        <v>13</v>
      </c>
      <c r="U172" s="6" t="s">
        <v>15</v>
      </c>
    </row>
    <row r="173" spans="1:27" x14ac:dyDescent="0.3">
      <c r="A173" s="6" t="s">
        <v>1</v>
      </c>
      <c r="B173" s="1"/>
      <c r="C173" s="1"/>
      <c r="D173" s="13">
        <f>$R$21-T2-$AA$17*(1-AD23)</f>
        <v>-47.079999999999977</v>
      </c>
      <c r="E173" s="13">
        <f t="shared" ref="E173:J173" si="191">$R$21-U2-$AA$17*(1-AE23)</f>
        <v>-48.089999999999975</v>
      </c>
      <c r="F173" s="13">
        <f t="shared" si="191"/>
        <v>-50.209999999999972</v>
      </c>
      <c r="G173" s="13">
        <f t="shared" si="191"/>
        <v>-52.909999999999975</v>
      </c>
      <c r="H173" s="13">
        <f t="shared" si="191"/>
        <v>-55.679999999999993</v>
      </c>
      <c r="I173" s="13">
        <f t="shared" si="191"/>
        <v>-58.120000000000005</v>
      </c>
      <c r="J173" s="13">
        <f t="shared" si="191"/>
        <v>-4.6700000000000124</v>
      </c>
      <c r="L173" s="6" t="s">
        <v>1</v>
      </c>
      <c r="M173" s="1"/>
      <c r="N173" s="1"/>
      <c r="O173" s="13">
        <f>T16-$R$7-$AA$17*(1-AD28)</f>
        <v>-14.400000000000031</v>
      </c>
      <c r="P173" s="13">
        <f t="shared" ref="P173:U173" si="192">U16-$R$7-$AA$17*(1-AE28)</f>
        <v>-13.390000000000036</v>
      </c>
      <c r="Q173" s="13">
        <f t="shared" si="192"/>
        <v>-10.620000000000044</v>
      </c>
      <c r="R173" s="13">
        <f t="shared" si="192"/>
        <v>-7.2600000000000264</v>
      </c>
      <c r="S173" s="13">
        <f t="shared" si="192"/>
        <v>-5.8000000000000185</v>
      </c>
      <c r="T173" s="13">
        <f t="shared" si="192"/>
        <v>-3.3600000000000065</v>
      </c>
      <c r="U173" s="13">
        <f t="shared" si="192"/>
        <v>-54.679999999999993</v>
      </c>
    </row>
    <row r="174" spans="1:27" x14ac:dyDescent="0.3">
      <c r="A174" s="6" t="s">
        <v>2</v>
      </c>
      <c r="B174" s="1"/>
      <c r="C174" s="1"/>
      <c r="D174" s="13">
        <f>$S$21-T2-$AA$17*(1-AL23)</f>
        <v>-42.529999999999966</v>
      </c>
      <c r="E174" s="13">
        <f t="shared" ref="E174:J174" si="193">$S$21-U2-$AA$17*(1-AM23)</f>
        <v>-43.539999999999964</v>
      </c>
      <c r="F174" s="13">
        <f t="shared" si="193"/>
        <v>-45.659999999999961</v>
      </c>
      <c r="G174" s="13">
        <f t="shared" si="193"/>
        <v>-48.359999999999964</v>
      </c>
      <c r="H174" s="13">
        <f t="shared" si="193"/>
        <v>-51.129999999999981</v>
      </c>
      <c r="I174" s="13">
        <f t="shared" si="193"/>
        <v>-53.569999999999993</v>
      </c>
      <c r="J174" s="13">
        <f t="shared" si="193"/>
        <v>-0.12000000000000099</v>
      </c>
      <c r="L174" s="6" t="s">
        <v>2</v>
      </c>
      <c r="M174" s="1"/>
      <c r="N174" s="1"/>
      <c r="O174" s="13">
        <f>T16-$S$7-$AA$17*(1-AL28)</f>
        <v>-16.720000000000041</v>
      </c>
      <c r="P174" s="13">
        <f t="shared" ref="P174:U174" si="194">U16-$S$7-$AA$17*(1-AM28)</f>
        <v>-15.710000000000047</v>
      </c>
      <c r="Q174" s="13">
        <f t="shared" si="194"/>
        <v>-12.940000000000055</v>
      </c>
      <c r="R174" s="13">
        <f t="shared" si="194"/>
        <v>-9.5800000000000374</v>
      </c>
      <c r="S174" s="13">
        <f t="shared" si="194"/>
        <v>-8.1200000000000294</v>
      </c>
      <c r="T174" s="13">
        <f t="shared" si="194"/>
        <v>-5.6800000000000175</v>
      </c>
      <c r="U174" s="13">
        <f t="shared" si="194"/>
        <v>-57.000000000000007</v>
      </c>
    </row>
    <row r="175" spans="1:27" x14ac:dyDescent="0.3">
      <c r="A175" s="6" t="s">
        <v>4</v>
      </c>
      <c r="B175" s="1"/>
      <c r="C175" s="1"/>
      <c r="D175" s="1"/>
      <c r="E175" s="13">
        <f>$T$21-U2-$AA$17*(1-AT23)</f>
        <v>-38.729999999999954</v>
      </c>
      <c r="F175" s="13">
        <f t="shared" ref="F175:J175" si="195">$T$21-V2-$AA$17*(1-AU23)</f>
        <v>-40.849999999999952</v>
      </c>
      <c r="G175" s="13">
        <f t="shared" si="195"/>
        <v>-43.549999999999955</v>
      </c>
      <c r="H175" s="13">
        <f t="shared" si="195"/>
        <v>-46.319999999999972</v>
      </c>
      <c r="I175" s="13">
        <f t="shared" si="195"/>
        <v>-48.759999999999984</v>
      </c>
      <c r="J175" s="13">
        <f t="shared" si="195"/>
        <v>-56.910000000000004</v>
      </c>
      <c r="L175" s="6" t="s">
        <v>4</v>
      </c>
      <c r="M175" s="1"/>
      <c r="N175" s="1"/>
      <c r="O175" s="1"/>
      <c r="P175" s="13">
        <f>U16-$T$7-$AA$17*(1-AT28)</f>
        <v>-22.630000000000052</v>
      </c>
      <c r="Q175" s="13">
        <f t="shared" ref="Q175:U175" si="196">V16-$T$7-$AA$17*(1-AU28)</f>
        <v>-19.86000000000006</v>
      </c>
      <c r="R175" s="13">
        <f t="shared" si="196"/>
        <v>-16.500000000000043</v>
      </c>
      <c r="S175" s="13">
        <f t="shared" si="196"/>
        <v>-15.040000000000035</v>
      </c>
      <c r="T175" s="13">
        <f t="shared" si="196"/>
        <v>-12.600000000000023</v>
      </c>
      <c r="U175" s="13">
        <f t="shared" si="196"/>
        <v>-2.3200000000000038</v>
      </c>
    </row>
    <row r="176" spans="1:27" x14ac:dyDescent="0.3">
      <c r="A176" s="6" t="s">
        <v>6</v>
      </c>
      <c r="B176" s="1"/>
      <c r="C176" s="1"/>
      <c r="D176" s="1"/>
      <c r="E176" s="1"/>
      <c r="F176" s="13">
        <f>$U$21-V2-$AA$17*(1-BA23)</f>
        <v>-39.63000000000001</v>
      </c>
      <c r="G176" s="13">
        <f t="shared" ref="G176:J176" si="197">$U$21-W2-$AA$17*(1-BB23)</f>
        <v>-42.330000000000005</v>
      </c>
      <c r="H176" s="13">
        <f t="shared" si="197"/>
        <v>-45.100000000000023</v>
      </c>
      <c r="I176" s="13">
        <f t="shared" si="197"/>
        <v>-47.540000000000035</v>
      </c>
      <c r="J176" s="13">
        <f t="shared" si="197"/>
        <v>-55.690000000000055</v>
      </c>
      <c r="L176" s="6" t="s">
        <v>6</v>
      </c>
      <c r="M176" s="1"/>
      <c r="N176" s="1"/>
      <c r="O176" s="1"/>
      <c r="P176" s="1"/>
      <c r="Q176" s="13">
        <f>V16-$U$7-$AA$17*(1-BA28)</f>
        <v>-21.080000000000009</v>
      </c>
      <c r="R176" s="13">
        <f t="shared" ref="R176:U176" si="198">W16-$U$7-$AA$17*(1-BB28)</f>
        <v>-17.719999999999992</v>
      </c>
      <c r="S176" s="13">
        <f t="shared" si="198"/>
        <v>-16.259999999999984</v>
      </c>
      <c r="T176" s="13">
        <f t="shared" si="198"/>
        <v>-13.819999999999972</v>
      </c>
      <c r="U176" s="13">
        <f t="shared" si="198"/>
        <v>-3.539999999999953</v>
      </c>
    </row>
    <row r="177" spans="1:21" x14ac:dyDescent="0.3">
      <c r="A177" s="6" t="s">
        <v>8</v>
      </c>
      <c r="B177" s="1"/>
      <c r="C177" s="1"/>
      <c r="D177" s="1"/>
      <c r="E177" s="1"/>
      <c r="F177" s="1"/>
      <c r="G177" s="1"/>
      <c r="H177" s="13">
        <f>$V$21-X2-$AA$17*(1-BG23)</f>
        <v>-40.169999999999945</v>
      </c>
      <c r="I177" s="13">
        <f t="shared" ref="I177:J177" si="199">$V$21-Y2-$AA$17*(1-BH23)</f>
        <v>-42.609999999999957</v>
      </c>
      <c r="J177" s="13">
        <f t="shared" si="199"/>
        <v>-50.759999999999977</v>
      </c>
      <c r="L177" s="6" t="s">
        <v>8</v>
      </c>
      <c r="M177" s="1"/>
      <c r="N177" s="1"/>
      <c r="O177" s="1"/>
      <c r="P177" s="1"/>
      <c r="Q177" s="1"/>
      <c r="R177" s="1"/>
      <c r="S177" s="13">
        <f>X16-$V$7-$AA$17*(1-BG28)</f>
        <v>-20.090000000000064</v>
      </c>
      <c r="T177" s="13">
        <f t="shared" ref="T177:U177" si="200">Y16-$V$7-$AA$17*(1-BH28)</f>
        <v>-17.650000000000052</v>
      </c>
      <c r="U177" s="13">
        <f t="shared" si="200"/>
        <v>-7.370000000000033</v>
      </c>
    </row>
    <row r="178" spans="1:21" x14ac:dyDescent="0.3">
      <c r="A178" s="6" t="s">
        <v>9</v>
      </c>
      <c r="B178" s="1"/>
      <c r="C178" s="1"/>
      <c r="D178" s="1"/>
      <c r="E178" s="1"/>
      <c r="F178" s="1"/>
      <c r="G178" s="1"/>
      <c r="H178" s="13">
        <f>$W$21-X2-$AA$17*(1-BK23)</f>
        <v>-39.069999999999936</v>
      </c>
      <c r="I178" s="13">
        <f t="shared" ref="I178:J178" si="201">$W$21-Y2-$AA$17*(1-BL23)</f>
        <v>-41.509999999999948</v>
      </c>
      <c r="J178" s="13">
        <f t="shared" si="201"/>
        <v>-49.659999999999968</v>
      </c>
      <c r="L178" s="6" t="s">
        <v>9</v>
      </c>
      <c r="M178" s="1"/>
      <c r="N178" s="1"/>
      <c r="O178" s="1"/>
      <c r="P178" s="1"/>
      <c r="Q178" s="1"/>
      <c r="R178" s="1"/>
      <c r="S178" s="13">
        <f>X16-$W$7-$AA$17*(1-BK28)</f>
        <v>-21.430000000000067</v>
      </c>
      <c r="T178" s="13">
        <f t="shared" ref="T178:U178" si="202">Y16-$W$7-$AA$17*(1-BL28)</f>
        <v>-18.990000000000055</v>
      </c>
      <c r="U178" s="13">
        <f t="shared" si="202"/>
        <v>-8.7100000000000364</v>
      </c>
    </row>
    <row r="179" spans="1:21" x14ac:dyDescent="0.3">
      <c r="A179" s="6" t="s">
        <v>11</v>
      </c>
      <c r="B179" s="1"/>
      <c r="C179" s="1"/>
      <c r="D179" s="1"/>
      <c r="E179" s="1"/>
      <c r="F179" s="1"/>
      <c r="G179" s="1"/>
      <c r="H179" s="1"/>
      <c r="I179" s="13">
        <f>$X$21-Y2-$AA$17*(1-BO23)</f>
        <v>-36.769999999999946</v>
      </c>
      <c r="J179" s="13">
        <f>$X$21-Z2-$AA$17*(1-BP23)</f>
        <v>-44.919999999999966</v>
      </c>
      <c r="L179" s="6" t="s">
        <v>11</v>
      </c>
      <c r="M179" s="1"/>
      <c r="N179" s="1"/>
      <c r="O179" s="1"/>
      <c r="P179" s="1"/>
      <c r="Q179" s="1"/>
      <c r="R179" s="1"/>
      <c r="S179" s="1"/>
      <c r="T179" s="13">
        <f>Y16-$X$7-$AA$17*(1-BO28)</f>
        <v>-24.590000000000064</v>
      </c>
      <c r="U179" s="13">
        <f>Z16-$X$7-$AA$17*(1-BP28)</f>
        <v>-14.310000000000045</v>
      </c>
    </row>
    <row r="180" spans="1:21" x14ac:dyDescent="0.3">
      <c r="A180" s="6" t="s">
        <v>13</v>
      </c>
      <c r="B180" s="1"/>
      <c r="C180" s="1"/>
      <c r="D180" s="1"/>
      <c r="E180" s="1"/>
      <c r="F180" s="1"/>
      <c r="G180" s="1"/>
      <c r="H180" s="1"/>
      <c r="I180" s="1"/>
      <c r="J180" s="13">
        <f>$Y$21-Z2-$AA$17*(1-BR23)</f>
        <v>-44.029999999999966</v>
      </c>
      <c r="L180" s="6" t="s">
        <v>13</v>
      </c>
      <c r="M180" s="1"/>
      <c r="N180" s="1"/>
      <c r="O180" s="1"/>
      <c r="P180" s="1"/>
      <c r="Q180" s="1"/>
      <c r="R180" s="1"/>
      <c r="S180" s="1"/>
      <c r="T180" s="1"/>
      <c r="U180" s="13">
        <f>Z16-$Y$7-$AA$17*(1-BR28)</f>
        <v>-15.200000000000045</v>
      </c>
    </row>
    <row r="181" spans="1:21" x14ac:dyDescent="0.3">
      <c r="A181" s="6" t="s">
        <v>15</v>
      </c>
      <c r="B181" s="1"/>
      <c r="C181" s="1"/>
      <c r="D181" s="1"/>
      <c r="E181" s="1"/>
      <c r="F181" s="1"/>
      <c r="G181" s="1"/>
      <c r="H181" s="1"/>
      <c r="I181" s="1"/>
      <c r="J181" s="1"/>
      <c r="L181" s="6" t="s">
        <v>15</v>
      </c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3">
      <c r="B182" t="s">
        <v>84</v>
      </c>
    </row>
    <row r="183" spans="1:21" x14ac:dyDescent="0.3">
      <c r="B183" s="6" t="s">
        <v>1</v>
      </c>
      <c r="C183" s="6" t="s">
        <v>2</v>
      </c>
      <c r="D183" s="6" t="s">
        <v>4</v>
      </c>
      <c r="E183" s="6" t="s">
        <v>6</v>
      </c>
      <c r="F183" s="6" t="s">
        <v>8</v>
      </c>
      <c r="G183" s="6" t="s">
        <v>9</v>
      </c>
      <c r="H183" s="6" t="s">
        <v>11</v>
      </c>
      <c r="I183" s="6" t="s">
        <v>13</v>
      </c>
      <c r="J183" s="6" t="s">
        <v>15</v>
      </c>
      <c r="M183" t="s">
        <v>93</v>
      </c>
    </row>
    <row r="184" spans="1:21" x14ac:dyDescent="0.3">
      <c r="A184" s="6" t="s">
        <v>1</v>
      </c>
      <c r="B184" s="1"/>
      <c r="C184" s="1"/>
      <c r="D184" s="13">
        <f>$R$21-T3-$AA$17*(1-AD24)</f>
        <v>-50.089999999999968</v>
      </c>
      <c r="E184" s="13">
        <f t="shared" ref="E184:J184" si="203">$R$21-U3-$AA$17*(1-AE24)</f>
        <v>-50.979999999999968</v>
      </c>
      <c r="F184" s="13">
        <f t="shared" si="203"/>
        <v>-54.339999999999989</v>
      </c>
      <c r="G184" s="13">
        <f t="shared" si="203"/>
        <v>-55.8</v>
      </c>
      <c r="H184" s="13">
        <f t="shared" si="203"/>
        <v>-60.259999999999977</v>
      </c>
      <c r="I184" s="13">
        <f t="shared" si="203"/>
        <v>-2.2000000000000028</v>
      </c>
      <c r="J184" s="13">
        <f t="shared" si="203"/>
        <v>-10.700000000000021</v>
      </c>
      <c r="M184" t="s">
        <v>84</v>
      </c>
    </row>
    <row r="185" spans="1:21" x14ac:dyDescent="0.3">
      <c r="A185" s="6" t="s">
        <v>2</v>
      </c>
      <c r="B185" s="1"/>
      <c r="C185" s="1"/>
      <c r="D185" s="13">
        <f>$S$21-T3-$AA$17*(1-AL24)</f>
        <v>-45.539999999999957</v>
      </c>
      <c r="E185" s="13">
        <f t="shared" ref="E185:J185" si="204">$S$21-U3-$AA$17*(1-AM24)</f>
        <v>-46.429999999999957</v>
      </c>
      <c r="F185" s="13">
        <f t="shared" si="204"/>
        <v>-49.789999999999978</v>
      </c>
      <c r="G185" s="13">
        <f t="shared" si="204"/>
        <v>-51.249999999999986</v>
      </c>
      <c r="H185" s="13">
        <f t="shared" si="204"/>
        <v>-55.709999999999965</v>
      </c>
      <c r="I185" s="13">
        <f t="shared" si="204"/>
        <v>-59.25</v>
      </c>
      <c r="J185" s="13">
        <f t="shared" si="204"/>
        <v>-6.1500000000000092</v>
      </c>
      <c r="M185" s="6" t="s">
        <v>1</v>
      </c>
      <c r="N185" s="6" t="s">
        <v>2</v>
      </c>
      <c r="O185" s="6" t="s">
        <v>4</v>
      </c>
      <c r="P185" s="6" t="s">
        <v>6</v>
      </c>
      <c r="Q185" s="6" t="s">
        <v>8</v>
      </c>
      <c r="R185" s="6" t="s">
        <v>9</v>
      </c>
      <c r="S185" s="6" t="s">
        <v>11</v>
      </c>
      <c r="T185" s="6" t="s">
        <v>13</v>
      </c>
      <c r="U185" s="6" t="s">
        <v>15</v>
      </c>
    </row>
    <row r="186" spans="1:21" x14ac:dyDescent="0.3">
      <c r="A186" s="6" t="s">
        <v>4</v>
      </c>
      <c r="B186" s="1"/>
      <c r="C186" s="1"/>
      <c r="D186" s="1"/>
      <c r="E186" s="13">
        <f>$T$21-U3-$AA$17*(1-AT24)</f>
        <v>-41.619999999999948</v>
      </c>
      <c r="F186" s="13">
        <f t="shared" ref="F186:J186" si="205">$T$21-V3-$AA$17*(1-AU24)</f>
        <v>-44.979999999999976</v>
      </c>
      <c r="G186" s="13">
        <f t="shared" si="205"/>
        <v>-46.439999999999976</v>
      </c>
      <c r="H186" s="13">
        <f t="shared" si="205"/>
        <v>-50.899999999999956</v>
      </c>
      <c r="I186" s="13">
        <f t="shared" si="205"/>
        <v>-54.44</v>
      </c>
      <c r="J186" s="13">
        <f t="shared" si="205"/>
        <v>-1.3400000000000034</v>
      </c>
      <c r="L186" s="6" t="s">
        <v>1</v>
      </c>
      <c r="M186" s="1"/>
      <c r="N186" s="1"/>
      <c r="O186" s="13">
        <f>T17-$R$7-$AA$17*(1-AD29)</f>
        <v>-11.390000000000041</v>
      </c>
      <c r="P186" s="13">
        <f t="shared" ref="P186:U186" si="206">U17-$R$7-$AA$17*(1-AE29)</f>
        <v>-10.500000000000043</v>
      </c>
      <c r="Q186" s="13">
        <f t="shared" si="206"/>
        <v>-7.2600000000000176</v>
      </c>
      <c r="R186" s="13">
        <f t="shared" si="206"/>
        <v>-3.6000000000000121</v>
      </c>
      <c r="S186" s="13">
        <f t="shared" si="206"/>
        <v>-1.2200000000000344</v>
      </c>
      <c r="T186" s="13">
        <f t="shared" si="206"/>
        <v>-59.28</v>
      </c>
      <c r="U186" s="13">
        <f t="shared" si="206"/>
        <v>-48.649999999999991</v>
      </c>
    </row>
    <row r="187" spans="1:21" x14ac:dyDescent="0.3">
      <c r="A187" s="6" t="s">
        <v>6</v>
      </c>
      <c r="B187" s="1"/>
      <c r="C187" s="1"/>
      <c r="D187" s="1"/>
      <c r="E187" s="1"/>
      <c r="F187" s="13">
        <f>$U$21-V3-$AA$17*(1-BA24)</f>
        <v>-43.760000000000026</v>
      </c>
      <c r="G187" s="13">
        <f t="shared" ref="G187:J187" si="207">$U$21-W3-$AA$17*(1-BB24)</f>
        <v>-45.220000000000027</v>
      </c>
      <c r="H187" s="13">
        <f t="shared" si="207"/>
        <v>-49.680000000000007</v>
      </c>
      <c r="I187" s="13">
        <f t="shared" si="207"/>
        <v>-53.220000000000041</v>
      </c>
      <c r="J187" s="13">
        <f t="shared" si="207"/>
        <v>-0.12000000000005429</v>
      </c>
      <c r="L187" s="6" t="s">
        <v>2</v>
      </c>
      <c r="M187" s="1"/>
      <c r="N187" s="1"/>
      <c r="O187" s="13">
        <f>T17-$S$7-$AA$17*(1-AL29)</f>
        <v>-13.710000000000052</v>
      </c>
      <c r="P187" s="13">
        <f t="shared" ref="P187:U187" si="208">U17-$S$7-$AA$17*(1-AM29)</f>
        <v>-12.820000000000054</v>
      </c>
      <c r="Q187" s="13">
        <f t="shared" si="208"/>
        <v>-9.5800000000000285</v>
      </c>
      <c r="R187" s="13">
        <f t="shared" si="208"/>
        <v>-5.920000000000023</v>
      </c>
      <c r="S187" s="13">
        <f t="shared" si="208"/>
        <v>-3.5400000000000453</v>
      </c>
      <c r="T187" s="13">
        <f t="shared" si="208"/>
        <v>-7.1054273576010019E-15</v>
      </c>
      <c r="U187" s="13">
        <f t="shared" si="208"/>
        <v>-50.97</v>
      </c>
    </row>
    <row r="188" spans="1:21" x14ac:dyDescent="0.3">
      <c r="A188" s="6" t="s">
        <v>8</v>
      </c>
      <c r="B188" s="1"/>
      <c r="C188" s="1"/>
      <c r="D188" s="1"/>
      <c r="E188" s="1"/>
      <c r="F188" s="1"/>
      <c r="G188" s="1"/>
      <c r="H188" s="13">
        <f>$V$21-X3-$AA$17*(1-BG24)</f>
        <v>-44.749999999999929</v>
      </c>
      <c r="I188" s="13">
        <f t="shared" ref="I188:J188" si="209">$V$21-Y3-$AA$17*(1-BH24)</f>
        <v>-48.289999999999964</v>
      </c>
      <c r="J188" s="13">
        <f t="shared" si="209"/>
        <v>-56.789999999999985</v>
      </c>
      <c r="L188" s="6" t="s">
        <v>4</v>
      </c>
      <c r="M188" s="1"/>
      <c r="N188" s="1"/>
      <c r="O188" s="1"/>
      <c r="P188" s="13">
        <f>U17-$T$7-$AA$17*(1-AT29)</f>
        <v>-19.740000000000059</v>
      </c>
      <c r="Q188" s="13">
        <f t="shared" ref="Q188:U188" si="210">V17-$T$7-$AA$17*(1-AU29)</f>
        <v>-16.500000000000036</v>
      </c>
      <c r="R188" s="13">
        <f t="shared" si="210"/>
        <v>-12.840000000000028</v>
      </c>
      <c r="S188" s="13">
        <f t="shared" si="210"/>
        <v>-10.460000000000051</v>
      </c>
      <c r="T188" s="13">
        <f t="shared" si="210"/>
        <v>-6.9200000000000124</v>
      </c>
      <c r="U188" s="13">
        <f t="shared" si="210"/>
        <v>-57.89</v>
      </c>
    </row>
    <row r="189" spans="1:21" x14ac:dyDescent="0.3">
      <c r="A189" s="6" t="s">
        <v>9</v>
      </c>
      <c r="B189" s="1"/>
      <c r="C189" s="1"/>
      <c r="D189" s="1"/>
      <c r="E189" s="1"/>
      <c r="F189" s="1"/>
      <c r="G189" s="1"/>
      <c r="H189" s="13">
        <f>$W$21-X3-$AA$17*(1-BK24)</f>
        <v>-43.64999999999992</v>
      </c>
      <c r="I189" s="13">
        <f t="shared" ref="I189:J189" si="211">$W$21-Y3-$AA$17*(1-BL24)</f>
        <v>-47.189999999999955</v>
      </c>
      <c r="J189" s="13">
        <f t="shared" si="211"/>
        <v>-55.689999999999976</v>
      </c>
      <c r="L189" s="6" t="s">
        <v>6</v>
      </c>
      <c r="M189" s="1"/>
      <c r="N189" s="1"/>
      <c r="O189" s="1"/>
      <c r="P189" s="1"/>
      <c r="Q189" s="13">
        <f>V17-$U$7-$AA$17*(1-BA29)</f>
        <v>-17.719999999999985</v>
      </c>
      <c r="R189" s="13">
        <f t="shared" ref="R189:U189" si="212">W17-$U$7-$AA$17*(1-BB29)</f>
        <v>-14.059999999999977</v>
      </c>
      <c r="S189" s="13">
        <f t="shared" si="212"/>
        <v>-11.68</v>
      </c>
      <c r="T189" s="13">
        <f t="shared" si="212"/>
        <v>-8.1399999999999615</v>
      </c>
      <c r="U189" s="13">
        <f t="shared" si="212"/>
        <v>-59.109999999999957</v>
      </c>
    </row>
    <row r="190" spans="1:21" x14ac:dyDescent="0.3">
      <c r="A190" s="6" t="s">
        <v>11</v>
      </c>
      <c r="B190" s="1"/>
      <c r="C190" s="1"/>
      <c r="D190" s="1"/>
      <c r="E190" s="1"/>
      <c r="F190" s="1"/>
      <c r="G190" s="1"/>
      <c r="H190" s="1"/>
      <c r="I190" s="13">
        <f>$X$21-Y3-$AA$17*(1-BO24)</f>
        <v>-42.44999999999996</v>
      </c>
      <c r="J190" s="13">
        <f>$X$21-Z3-$AA$17*(1-BP24)</f>
        <v>-50.949999999999974</v>
      </c>
      <c r="L190" s="6" t="s">
        <v>8</v>
      </c>
      <c r="M190" s="1"/>
      <c r="N190" s="1"/>
      <c r="O190" s="1"/>
      <c r="P190" s="1"/>
      <c r="Q190" s="1"/>
      <c r="R190" s="1"/>
      <c r="S190" s="13">
        <f>X17-$V$7-$AA$17*(1-BG29)</f>
        <v>-15.51000000000008</v>
      </c>
      <c r="T190" s="13">
        <f t="shared" ref="T190:U190" si="213">Y17-$V$7-$AA$17*(1-BH29)</f>
        <v>-11.970000000000041</v>
      </c>
      <c r="U190" s="13">
        <f t="shared" si="213"/>
        <v>-1.3400000000000247</v>
      </c>
    </row>
    <row r="191" spans="1:21" x14ac:dyDescent="0.3">
      <c r="A191" s="6" t="s">
        <v>13</v>
      </c>
      <c r="B191" s="1"/>
      <c r="C191" s="1"/>
      <c r="D191" s="1"/>
      <c r="E191" s="1"/>
      <c r="F191" s="1"/>
      <c r="G191" s="1"/>
      <c r="H191" s="1"/>
      <c r="I191" s="1"/>
      <c r="J191" s="13">
        <f>$Y$21-Z3-$AA$17*(1-BR24)</f>
        <v>-50.059999999999974</v>
      </c>
      <c r="L191" s="6" t="s">
        <v>9</v>
      </c>
      <c r="M191" s="1"/>
      <c r="N191" s="1"/>
      <c r="O191" s="1"/>
      <c r="P191" s="1"/>
      <c r="Q191" s="1"/>
      <c r="R191" s="1"/>
      <c r="S191" s="13">
        <f>X17-$W$7-$AA$17*(1-BK29)</f>
        <v>-16.850000000000083</v>
      </c>
      <c r="T191" s="13">
        <f t="shared" ref="T191:U191" si="214">Y17-$W$7-$AA$17*(1-BL29)</f>
        <v>-13.310000000000045</v>
      </c>
      <c r="U191" s="13">
        <f t="shared" si="214"/>
        <v>-2.6800000000000281</v>
      </c>
    </row>
    <row r="192" spans="1:21" x14ac:dyDescent="0.3">
      <c r="A192" s="6" t="s">
        <v>15</v>
      </c>
      <c r="B192" s="1"/>
      <c r="C192" s="1"/>
      <c r="D192" s="1"/>
      <c r="E192" s="1"/>
      <c r="F192" s="1"/>
      <c r="G192" s="1"/>
      <c r="H192" s="1"/>
      <c r="I192" s="1"/>
      <c r="J192" s="1"/>
      <c r="L192" s="6" t="s">
        <v>11</v>
      </c>
      <c r="M192" s="1"/>
      <c r="N192" s="1"/>
      <c r="O192" s="1"/>
      <c r="P192" s="1"/>
      <c r="Q192" s="1"/>
      <c r="R192" s="1"/>
      <c r="S192" s="1"/>
      <c r="T192" s="13">
        <f>Y17-$X$7-$AA$17*(1-BO29)</f>
        <v>-18.910000000000053</v>
      </c>
      <c r="U192" s="13">
        <f>Z17-$X$7-$AA$17*(1-BP29)</f>
        <v>-8.2800000000000367</v>
      </c>
    </row>
    <row r="193" spans="1:21" x14ac:dyDescent="0.3">
      <c r="B193" t="s">
        <v>86</v>
      </c>
      <c r="L193" s="6" t="s">
        <v>13</v>
      </c>
      <c r="M193" s="1"/>
      <c r="N193" s="1"/>
      <c r="O193" s="1"/>
      <c r="P193" s="1"/>
      <c r="Q193" s="1"/>
      <c r="R193" s="1"/>
      <c r="S193" s="1"/>
      <c r="T193" s="1"/>
      <c r="U193" s="13">
        <f>Z17-$Y$7-$AA$17*(1-BR29)</f>
        <v>-9.1700000000000372</v>
      </c>
    </row>
    <row r="194" spans="1:21" x14ac:dyDescent="0.3">
      <c r="B194" s="6" t="s">
        <v>1</v>
      </c>
      <c r="C194" s="6" t="s">
        <v>2</v>
      </c>
      <c r="D194" s="6" t="s">
        <v>4</v>
      </c>
      <c r="E194" s="6" t="s">
        <v>6</v>
      </c>
      <c r="F194" s="6" t="s">
        <v>8</v>
      </c>
      <c r="G194" s="6" t="s">
        <v>9</v>
      </c>
      <c r="H194" s="6" t="s">
        <v>11</v>
      </c>
      <c r="I194" s="6" t="s">
        <v>13</v>
      </c>
      <c r="J194" s="6" t="s">
        <v>15</v>
      </c>
      <c r="L194" s="6" t="s">
        <v>15</v>
      </c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6" t="s">
        <v>1</v>
      </c>
      <c r="B195" s="1"/>
      <c r="C195" s="1"/>
      <c r="D195" s="13">
        <f>$R$21-T4-$AA$17*(1-AD25)</f>
        <v>-52.789999999999978</v>
      </c>
      <c r="E195" s="13">
        <f t="shared" ref="E195:J195" si="215">$R$21-U4-$AA$17*(1-AE25)</f>
        <v>-55.22999999999999</v>
      </c>
      <c r="F195" s="13">
        <f t="shared" si="215"/>
        <v>-58.240000000000009</v>
      </c>
      <c r="G195" s="13">
        <f t="shared" si="215"/>
        <v>0</v>
      </c>
      <c r="H195" s="13">
        <f t="shared" si="215"/>
        <v>-6.9200000000000124</v>
      </c>
      <c r="I195" s="13">
        <f t="shared" si="215"/>
        <v>-9.3599999999999639</v>
      </c>
      <c r="J195" s="13">
        <f t="shared" si="215"/>
        <v>-16.609999999999967</v>
      </c>
    </row>
    <row r="196" spans="1:21" x14ac:dyDescent="0.3">
      <c r="A196" s="6" t="s">
        <v>2</v>
      </c>
      <c r="B196" s="1"/>
      <c r="C196" s="1"/>
      <c r="D196" s="13">
        <f>$S$21-T4-$AA$17*(1-AL25)</f>
        <v>-48.239999999999966</v>
      </c>
      <c r="E196" s="13">
        <f t="shared" ref="E196:J196" si="216">$S$21-U4-$AA$17*(1-AM25)</f>
        <v>-50.679999999999978</v>
      </c>
      <c r="F196" s="13">
        <f t="shared" si="216"/>
        <v>-53.69</v>
      </c>
      <c r="G196" s="13">
        <f t="shared" si="216"/>
        <v>-57.05</v>
      </c>
      <c r="H196" s="13">
        <f t="shared" si="216"/>
        <v>-2.370000000000001</v>
      </c>
      <c r="I196" s="13">
        <f t="shared" si="216"/>
        <v>-4.8099999999999525</v>
      </c>
      <c r="J196" s="13">
        <f t="shared" si="216"/>
        <v>-12.059999999999956</v>
      </c>
      <c r="M196" t="s">
        <v>93</v>
      </c>
    </row>
    <row r="197" spans="1:21" x14ac:dyDescent="0.3">
      <c r="A197" s="6" t="s">
        <v>4</v>
      </c>
      <c r="B197" s="1"/>
      <c r="C197" s="1"/>
      <c r="D197" s="1"/>
      <c r="E197" s="13">
        <f>$T$21-U4-$AA$17*(1-AT25)</f>
        <v>-45.869999999999969</v>
      </c>
      <c r="F197" s="13">
        <f t="shared" ref="F197:J197" si="217">$T$21-V4-$AA$17*(1-AU25)</f>
        <v>-48.879999999999988</v>
      </c>
      <c r="G197" s="13">
        <f t="shared" si="217"/>
        <v>-52.239999999999995</v>
      </c>
      <c r="H197" s="13">
        <f t="shared" si="217"/>
        <v>-59.160000000000004</v>
      </c>
      <c r="I197" s="13">
        <f t="shared" si="217"/>
        <v>5.3290705182007514E-14</v>
      </c>
      <c r="J197" s="13">
        <f t="shared" si="217"/>
        <v>-7.2499999999999503</v>
      </c>
      <c r="M197" t="s">
        <v>86</v>
      </c>
    </row>
    <row r="198" spans="1:21" x14ac:dyDescent="0.3">
      <c r="A198" s="6" t="s">
        <v>6</v>
      </c>
      <c r="B198" s="1"/>
      <c r="C198" s="1"/>
      <c r="D198" s="1"/>
      <c r="E198" s="1"/>
      <c r="F198" s="13">
        <f>$U$21-V4-$AA$17*(1-BA25)</f>
        <v>-47.660000000000039</v>
      </c>
      <c r="G198" s="13">
        <f t="shared" ref="G198:J198" si="218">$U$21-W4-$AA$17*(1-BB25)</f>
        <v>-51.020000000000039</v>
      </c>
      <c r="H198" s="13">
        <f t="shared" si="218"/>
        <v>-57.940000000000055</v>
      </c>
      <c r="I198" s="13">
        <f t="shared" si="218"/>
        <v>-60.38000000000001</v>
      </c>
      <c r="J198" s="13">
        <f t="shared" si="218"/>
        <v>-6.0300000000000011</v>
      </c>
      <c r="M198" s="6" t="s">
        <v>1</v>
      </c>
      <c r="N198" s="6" t="s">
        <v>2</v>
      </c>
      <c r="O198" s="6" t="s">
        <v>4</v>
      </c>
      <c r="P198" s="6" t="s">
        <v>6</v>
      </c>
      <c r="Q198" s="6" t="s">
        <v>8</v>
      </c>
      <c r="R198" s="6" t="s">
        <v>9</v>
      </c>
      <c r="S198" s="6" t="s">
        <v>11</v>
      </c>
      <c r="T198" s="6" t="s">
        <v>13</v>
      </c>
      <c r="U198" s="6" t="s">
        <v>15</v>
      </c>
    </row>
    <row r="199" spans="1:21" x14ac:dyDescent="0.3">
      <c r="A199" s="6" t="s">
        <v>8</v>
      </c>
      <c r="B199" s="1"/>
      <c r="C199" s="1"/>
      <c r="D199" s="1"/>
      <c r="E199" s="1"/>
      <c r="F199" s="1"/>
      <c r="G199" s="1"/>
      <c r="H199" s="13">
        <f>$V$21-X4-$AA$17*(1-BG25)</f>
        <v>-53.009999999999977</v>
      </c>
      <c r="I199" s="13">
        <f t="shared" ref="I199:J199" si="219">$V$21-Y4-$AA$17*(1-BH25)</f>
        <v>-55.449999999999932</v>
      </c>
      <c r="J199" s="13">
        <f t="shared" si="219"/>
        <v>-1.0999999999999233</v>
      </c>
      <c r="L199" s="6" t="s">
        <v>1</v>
      </c>
      <c r="M199" s="1"/>
      <c r="N199" s="1"/>
      <c r="O199" s="13">
        <f>T18-$R$7-$AA$17*(1-AD30)</f>
        <v>-8.6900000000000315</v>
      </c>
      <c r="P199" s="13">
        <f t="shared" ref="P199:U199" si="220">U18-$R$7-$AA$17*(1-AE30)</f>
        <v>-6.2500000000000231</v>
      </c>
      <c r="Q199" s="13">
        <f t="shared" si="220"/>
        <v>-3.3600000000000012</v>
      </c>
      <c r="R199" s="13">
        <f t="shared" si="220"/>
        <v>-59.400000000000006</v>
      </c>
      <c r="S199" s="13">
        <f t="shared" si="220"/>
        <v>-54.559999999999995</v>
      </c>
      <c r="T199" s="13">
        <f t="shared" si="220"/>
        <v>-52.120000000000047</v>
      </c>
      <c r="U199" s="13">
        <f t="shared" si="220"/>
        <v>-42.740000000000038</v>
      </c>
    </row>
    <row r="200" spans="1:21" x14ac:dyDescent="0.3">
      <c r="A200" s="6" t="s">
        <v>9</v>
      </c>
      <c r="B200" s="1"/>
      <c r="C200" s="1"/>
      <c r="D200" s="1"/>
      <c r="E200" s="1"/>
      <c r="F200" s="1"/>
      <c r="G200" s="1"/>
      <c r="H200" s="13">
        <f>$W$21-X4-$AA$17*(1-BK25)</f>
        <v>-51.909999999999968</v>
      </c>
      <c r="I200" s="13">
        <f t="shared" ref="I200:J200" si="221">$W$21-Y4-$AA$17*(1-BL25)</f>
        <v>-54.349999999999923</v>
      </c>
      <c r="J200" s="13">
        <f t="shared" si="221"/>
        <v>8.5265128291212022E-14</v>
      </c>
      <c r="L200" s="6" t="s">
        <v>2</v>
      </c>
      <c r="M200" s="1"/>
      <c r="N200" s="1"/>
      <c r="O200" s="13">
        <f>T18-$S$7-$AA$17*(1-AL30)</f>
        <v>-11.010000000000042</v>
      </c>
      <c r="P200" s="13">
        <f t="shared" ref="P200:U200" si="222">U18-$S$7-$AA$17*(1-AM30)</f>
        <v>-8.570000000000034</v>
      </c>
      <c r="Q200" s="13">
        <f t="shared" si="222"/>
        <v>-5.6800000000000122</v>
      </c>
      <c r="R200" s="13">
        <f t="shared" si="222"/>
        <v>-0.12000000000001165</v>
      </c>
      <c r="S200" s="13">
        <f t="shared" si="222"/>
        <v>-56.88000000000001</v>
      </c>
      <c r="T200" s="13">
        <f t="shared" si="222"/>
        <v>-54.440000000000055</v>
      </c>
      <c r="U200" s="13">
        <f t="shared" si="222"/>
        <v>-45.060000000000052</v>
      </c>
    </row>
    <row r="201" spans="1:21" x14ac:dyDescent="0.3">
      <c r="A201" s="6" t="s">
        <v>11</v>
      </c>
      <c r="B201" s="1"/>
      <c r="C201" s="1"/>
      <c r="D201" s="1"/>
      <c r="E201" s="1"/>
      <c r="F201" s="1"/>
      <c r="G201" s="1"/>
      <c r="H201" s="1"/>
      <c r="I201" s="13">
        <f>$X$21-Y4-$AA$17*(1-BO25)</f>
        <v>-49.609999999999914</v>
      </c>
      <c r="J201" s="13">
        <f>$X$21-Z4-$AA$17*(1-BP25)</f>
        <v>-56.859999999999921</v>
      </c>
      <c r="L201" s="6" t="s">
        <v>4</v>
      </c>
      <c r="M201" s="1"/>
      <c r="N201" s="1"/>
      <c r="O201" s="1"/>
      <c r="P201" s="13">
        <f>U18-$T$7-$AA$17*(1-AT30)</f>
        <v>-15.490000000000039</v>
      </c>
      <c r="Q201" s="13">
        <f t="shared" ref="Q201:U201" si="223">V18-$T$7-$AA$17*(1-AU30)</f>
        <v>-12.600000000000017</v>
      </c>
      <c r="R201" s="13">
        <f t="shared" si="223"/>
        <v>-7.0400000000000169</v>
      </c>
      <c r="S201" s="13">
        <f t="shared" si="223"/>
        <v>-2.2000000000000028</v>
      </c>
      <c r="T201" s="13">
        <f t="shared" si="223"/>
        <v>-61.360000000000056</v>
      </c>
      <c r="U201" s="13">
        <f t="shared" si="223"/>
        <v>-51.980000000000061</v>
      </c>
    </row>
    <row r="202" spans="1:21" x14ac:dyDescent="0.3">
      <c r="A202" s="6" t="s">
        <v>13</v>
      </c>
      <c r="B202" s="1"/>
      <c r="C202" s="1"/>
      <c r="D202" s="1"/>
      <c r="E202" s="1"/>
      <c r="F202" s="1"/>
      <c r="G202" s="1"/>
      <c r="H202" s="1"/>
      <c r="I202" s="1"/>
      <c r="J202" s="13">
        <f>$Y$21-Z4-$AA$17*(1-BR25)</f>
        <v>-55.969999999999921</v>
      </c>
      <c r="L202" s="6" t="s">
        <v>6</v>
      </c>
      <c r="M202" s="1"/>
      <c r="N202" s="1"/>
      <c r="O202" s="1"/>
      <c r="P202" s="1"/>
      <c r="Q202" s="13">
        <f>V18-$U$7-$AA$17*(1-BA30)</f>
        <v>-13.819999999999967</v>
      </c>
      <c r="R202" s="13">
        <f t="shared" ref="R202:U202" si="224">W18-$U$7-$AA$17*(1-BB30)</f>
        <v>-8.259999999999966</v>
      </c>
      <c r="S202" s="13">
        <f t="shared" si="224"/>
        <v>-3.419999999999952</v>
      </c>
      <c r="T202" s="13">
        <f t="shared" si="224"/>
        <v>-0.98000000000000043</v>
      </c>
      <c r="U202" s="13">
        <f t="shared" si="224"/>
        <v>-53.2</v>
      </c>
    </row>
    <row r="203" spans="1:21" x14ac:dyDescent="0.3">
      <c r="A203" s="6" t="s">
        <v>15</v>
      </c>
      <c r="B203" s="1"/>
      <c r="C203" s="1"/>
      <c r="D203" s="1"/>
      <c r="E203" s="1"/>
      <c r="F203" s="1"/>
      <c r="G203" s="1"/>
      <c r="H203" s="1"/>
      <c r="I203" s="1"/>
      <c r="J203" s="1"/>
      <c r="L203" s="6" t="s">
        <v>8</v>
      </c>
      <c r="M203" s="1"/>
      <c r="N203" s="1"/>
      <c r="O203" s="1"/>
      <c r="P203" s="1"/>
      <c r="Q203" s="1"/>
      <c r="R203" s="1"/>
      <c r="S203" s="13">
        <f>X18-$V$7-$AA$17*(1-BG30)</f>
        <v>-7.250000000000032</v>
      </c>
      <c r="T203" s="13">
        <f t="shared" ref="T203:U203" si="225">Y18-$V$7-$AA$17*(1-BH30)</f>
        <v>-4.8100000000000804</v>
      </c>
      <c r="U203" s="13">
        <f t="shared" si="225"/>
        <v>-57.030000000000086</v>
      </c>
    </row>
    <row r="204" spans="1:21" x14ac:dyDescent="0.3">
      <c r="B204" t="s">
        <v>85</v>
      </c>
      <c r="L204" s="6" t="s">
        <v>9</v>
      </c>
      <c r="M204" s="1"/>
      <c r="N204" s="1"/>
      <c r="O204" s="1"/>
      <c r="P204" s="1"/>
      <c r="Q204" s="1"/>
      <c r="R204" s="1"/>
      <c r="S204" s="13">
        <f>X18-$W$7-$AA$17*(1-BK30)</f>
        <v>-8.5900000000000354</v>
      </c>
      <c r="T204" s="13">
        <f t="shared" ref="T204:U204" si="226">Y18-$W$7-$AA$17*(1-BL30)</f>
        <v>-6.1500000000000838</v>
      </c>
      <c r="U204" s="13">
        <f t="shared" si="226"/>
        <v>-58.37000000000009</v>
      </c>
    </row>
    <row r="205" spans="1:21" x14ac:dyDescent="0.3">
      <c r="B205" s="6" t="s">
        <v>1</v>
      </c>
      <c r="C205" s="6" t="s">
        <v>2</v>
      </c>
      <c r="D205" s="6" t="s">
        <v>4</v>
      </c>
      <c r="E205" s="6" t="s">
        <v>6</v>
      </c>
      <c r="F205" s="6" t="s">
        <v>8</v>
      </c>
      <c r="G205" s="6" t="s">
        <v>9</v>
      </c>
      <c r="H205" s="6" t="s">
        <v>11</v>
      </c>
      <c r="I205" s="6" t="s">
        <v>13</v>
      </c>
      <c r="J205" s="6" t="s">
        <v>15</v>
      </c>
      <c r="L205" s="6" t="s">
        <v>11</v>
      </c>
      <c r="M205" s="1"/>
      <c r="N205" s="1"/>
      <c r="O205" s="1"/>
      <c r="P205" s="1"/>
      <c r="Q205" s="1"/>
      <c r="R205" s="1"/>
      <c r="S205" s="1"/>
      <c r="T205" s="13">
        <f>Y18-$X$7-$AA$17*(1-BO30)</f>
        <v>-11.750000000000092</v>
      </c>
      <c r="U205" s="13">
        <f>Z18-$X$7-$AA$17*(1-BP30)</f>
        <v>-2.3700000000000898</v>
      </c>
    </row>
    <row r="206" spans="1:21" x14ac:dyDescent="0.3">
      <c r="A206" s="6" t="s">
        <v>1</v>
      </c>
      <c r="B206" s="1"/>
      <c r="C206" s="1"/>
      <c r="D206" s="13">
        <f>$R$21-T5-$AA$17*(1-AD26)</f>
        <v>-58</v>
      </c>
      <c r="E206" s="13">
        <f t="shared" ref="E206:J206" si="227">$R$21-U5-$AA$17*(1-AE26)</f>
        <v>-60.14</v>
      </c>
      <c r="F206" s="13">
        <f t="shared" si="227"/>
        <v>-2.3200000000000074</v>
      </c>
      <c r="G206" s="13">
        <f t="shared" si="227"/>
        <v>-7.0400000000000169</v>
      </c>
      <c r="H206" s="13">
        <f t="shared" si="227"/>
        <v>-10.580000000000016</v>
      </c>
      <c r="I206" s="13">
        <f t="shared" si="227"/>
        <v>-14.170000000000041</v>
      </c>
      <c r="J206" s="13">
        <f t="shared" si="227"/>
        <v>-18.980000000000057</v>
      </c>
      <c r="L206" s="6" t="s">
        <v>13</v>
      </c>
      <c r="M206" s="1"/>
      <c r="N206" s="1"/>
      <c r="O206" s="1"/>
      <c r="P206" s="1"/>
      <c r="Q206" s="1"/>
      <c r="R206" s="1"/>
      <c r="S206" s="1"/>
      <c r="T206" s="1"/>
      <c r="U206" s="13">
        <f>Z18-$Y$7-$AA$17*(1-BR30)</f>
        <v>-3.2600000000000904</v>
      </c>
    </row>
    <row r="207" spans="1:21" x14ac:dyDescent="0.3">
      <c r="A207" s="6" t="s">
        <v>2</v>
      </c>
      <c r="B207" s="1"/>
      <c r="C207" s="1"/>
      <c r="D207" s="13">
        <f>$S$21-T5-$AA$17*(1-AL26)</f>
        <v>-53.449999999999989</v>
      </c>
      <c r="E207" s="13">
        <f t="shared" ref="E207:J207" si="228">$S$21-U5-$AA$17*(1-AM26)</f>
        <v>-55.589999999999989</v>
      </c>
      <c r="F207" s="13">
        <f t="shared" si="228"/>
        <v>-59.370000000000005</v>
      </c>
      <c r="G207" s="13">
        <f t="shared" si="228"/>
        <v>-2.4900000000000055</v>
      </c>
      <c r="H207" s="13">
        <f t="shared" si="228"/>
        <v>-6.0300000000000047</v>
      </c>
      <c r="I207" s="13">
        <f t="shared" si="228"/>
        <v>-9.6200000000000294</v>
      </c>
      <c r="J207" s="13">
        <f t="shared" si="228"/>
        <v>-14.430000000000046</v>
      </c>
      <c r="L207" s="6" t="s">
        <v>15</v>
      </c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6" t="s">
        <v>4</v>
      </c>
      <c r="B208" s="1"/>
      <c r="C208" s="1"/>
      <c r="D208" s="1"/>
      <c r="E208" s="13">
        <f>$T$21-U5-$AA$17*(1-AT26)</f>
        <v>-50.779999999999987</v>
      </c>
      <c r="F208" s="13">
        <f t="shared" ref="F208:J208" si="229">$T$21-V5-$AA$17*(1-AU26)</f>
        <v>-54.56</v>
      </c>
      <c r="G208" s="13">
        <f t="shared" si="229"/>
        <v>-59.280000000000008</v>
      </c>
      <c r="H208" s="13">
        <f t="shared" si="229"/>
        <v>-1.2199999999999989</v>
      </c>
      <c r="I208" s="13">
        <f t="shared" si="229"/>
        <v>-4.8100000000000236</v>
      </c>
      <c r="J208" s="13">
        <f t="shared" si="229"/>
        <v>-9.6200000000000401</v>
      </c>
    </row>
    <row r="209" spans="1:21" x14ac:dyDescent="0.3">
      <c r="A209" s="6" t="s">
        <v>6</v>
      </c>
      <c r="B209" s="1"/>
      <c r="C209" s="1"/>
      <c r="D209" s="1"/>
      <c r="E209" s="1"/>
      <c r="F209" s="13">
        <f>$U$21-V5-$AA$17*(1-BA26)</f>
        <v>-53.340000000000046</v>
      </c>
      <c r="G209" s="13">
        <f t="shared" ref="G209:J209" si="230">$U$21-W5-$AA$17*(1-BB26)</f>
        <v>-58.060000000000059</v>
      </c>
      <c r="H209" s="13">
        <f t="shared" si="230"/>
        <v>-4.9737991503207013E-14</v>
      </c>
      <c r="I209" s="13">
        <f t="shared" si="230"/>
        <v>-3.5900000000000745</v>
      </c>
      <c r="J209" s="13">
        <f t="shared" si="230"/>
        <v>-8.4000000000000909</v>
      </c>
      <c r="M209" t="s">
        <v>93</v>
      </c>
    </row>
    <row r="210" spans="1:21" x14ac:dyDescent="0.3">
      <c r="A210" s="6" t="s">
        <v>8</v>
      </c>
      <c r="B210" s="1"/>
      <c r="C210" s="1"/>
      <c r="D210" s="1"/>
      <c r="E210" s="1"/>
      <c r="F210" s="1"/>
      <c r="G210" s="1"/>
      <c r="H210" s="13">
        <f>$V$21-X5-$AA$17*(1-BG26)</f>
        <v>-56.66999999999998</v>
      </c>
      <c r="I210" s="13">
        <f t="shared" ref="I210:J210" si="231">$V$21-Y5-$AA$17*(1-BH26)</f>
        <v>-60.260000000000005</v>
      </c>
      <c r="J210" s="13">
        <f t="shared" si="231"/>
        <v>-3.4700000000000131</v>
      </c>
      <c r="M210" t="s">
        <v>85</v>
      </c>
    </row>
    <row r="211" spans="1:21" x14ac:dyDescent="0.3">
      <c r="A211" s="6" t="s">
        <v>9</v>
      </c>
      <c r="B211" s="1"/>
      <c r="C211" s="1"/>
      <c r="D211" s="1"/>
      <c r="E211" s="1"/>
      <c r="F211" s="1"/>
      <c r="G211" s="1"/>
      <c r="H211" s="13">
        <f>$W$21-X5-$AA$17*(1-BK26)</f>
        <v>-55.569999999999972</v>
      </c>
      <c r="I211" s="13">
        <f t="shared" ref="I211:J211" si="232">$W$21-Y5-$AA$17*(1-BL26)</f>
        <v>-59.16</v>
      </c>
      <c r="J211" s="13">
        <f t="shared" si="232"/>
        <v>-2.3700000000000045</v>
      </c>
      <c r="M211" s="6" t="s">
        <v>1</v>
      </c>
      <c r="N211" s="6" t="s">
        <v>2</v>
      </c>
      <c r="O211" s="6" t="s">
        <v>4</v>
      </c>
      <c r="P211" s="6" t="s">
        <v>6</v>
      </c>
      <c r="Q211" s="6" t="s">
        <v>8</v>
      </c>
      <c r="R211" s="6" t="s">
        <v>9</v>
      </c>
      <c r="S211" s="6" t="s">
        <v>11</v>
      </c>
      <c r="T211" s="6" t="s">
        <v>13</v>
      </c>
      <c r="U211" s="6" t="s">
        <v>15</v>
      </c>
    </row>
    <row r="212" spans="1:21" x14ac:dyDescent="0.3">
      <c r="A212" s="6" t="s">
        <v>11</v>
      </c>
      <c r="B212" s="1"/>
      <c r="C212" s="1"/>
      <c r="D212" s="1"/>
      <c r="E212" s="1"/>
      <c r="F212" s="1"/>
      <c r="G212" s="1"/>
      <c r="H212" s="1"/>
      <c r="I212" s="13">
        <f>$X$21-Y5-$AA$17*(1-BO26)</f>
        <v>-54.419999999999995</v>
      </c>
      <c r="J212" s="13">
        <f>$X$21-Z5-$AA$17*(1-BP26)</f>
        <v>-59.230000000000011</v>
      </c>
      <c r="L212" s="6" t="s">
        <v>1</v>
      </c>
      <c r="M212" s="1"/>
      <c r="N212" s="1"/>
      <c r="O212" s="13">
        <f>T19-$R$7-$AA$17*(1-AD31)</f>
        <v>-3.4800000000000111</v>
      </c>
      <c r="P212" s="13">
        <f t="shared" ref="P212:U212" si="233">U19-$R$7-$AA$17*(1-AE31)</f>
        <v>-1.3400000000000034</v>
      </c>
      <c r="Q212" s="13">
        <f t="shared" si="233"/>
        <v>-59.28</v>
      </c>
      <c r="R212" s="13">
        <f t="shared" si="233"/>
        <v>-52.359999999999992</v>
      </c>
      <c r="S212" s="13">
        <f t="shared" si="233"/>
        <v>-50.899999999999991</v>
      </c>
      <c r="T212" s="13">
        <f t="shared" si="233"/>
        <v>-47.309999999999974</v>
      </c>
      <c r="U212" s="13">
        <f t="shared" si="233"/>
        <v>-40.369999999999948</v>
      </c>
    </row>
    <row r="213" spans="1:21" x14ac:dyDescent="0.3">
      <c r="A213" s="6" t="s">
        <v>13</v>
      </c>
      <c r="B213" s="1"/>
      <c r="C213" s="1"/>
      <c r="D213" s="1"/>
      <c r="E213" s="1"/>
      <c r="F213" s="1"/>
      <c r="G213" s="1"/>
      <c r="H213" s="1"/>
      <c r="I213" s="1"/>
      <c r="J213" s="13">
        <f>$Y$21-Z5-$AA$17*(1-BR26)</f>
        <v>-58.340000000000011</v>
      </c>
      <c r="L213" s="6" t="s">
        <v>2</v>
      </c>
      <c r="M213" s="1"/>
      <c r="N213" s="1"/>
      <c r="O213" s="13">
        <f>T19-$S$7-$AA$17*(1-AL31)</f>
        <v>-5.800000000000022</v>
      </c>
      <c r="P213" s="13">
        <f t="shared" ref="P213:U213" si="234">U19-$S$7-$AA$17*(1-AM31)</f>
        <v>-3.6600000000000144</v>
      </c>
      <c r="Q213" s="13">
        <f t="shared" si="234"/>
        <v>-3.5527136788005009E-15</v>
      </c>
      <c r="R213" s="13">
        <f t="shared" si="234"/>
        <v>-54.680000000000007</v>
      </c>
      <c r="S213" s="13">
        <f t="shared" si="234"/>
        <v>-53.22</v>
      </c>
      <c r="T213" s="13">
        <f t="shared" si="234"/>
        <v>-49.629999999999981</v>
      </c>
      <c r="U213" s="13">
        <f t="shared" si="234"/>
        <v>-42.689999999999962</v>
      </c>
    </row>
    <row r="214" spans="1:21" x14ac:dyDescent="0.3">
      <c r="A214" s="6" t="s">
        <v>15</v>
      </c>
      <c r="B214" s="1"/>
      <c r="C214" s="1"/>
      <c r="D214" s="1"/>
      <c r="E214" s="1"/>
      <c r="F214" s="1"/>
      <c r="G214" s="1"/>
      <c r="H214" s="1"/>
      <c r="I214" s="1"/>
      <c r="J214" s="1"/>
      <c r="L214" s="6" t="s">
        <v>4</v>
      </c>
      <c r="M214" s="1"/>
      <c r="N214" s="1"/>
      <c r="O214" s="1"/>
      <c r="P214" s="13">
        <f>U19-$T$7-$AA$17*(1-AT31)</f>
        <v>-10.58000000000002</v>
      </c>
      <c r="Q214" s="13">
        <f t="shared" ref="Q214:U214" si="235">V19-$T$7-$AA$17*(1-AU31)</f>
        <v>-6.9200000000000088</v>
      </c>
      <c r="R214" s="13">
        <f t="shared" si="235"/>
        <v>0</v>
      </c>
      <c r="S214" s="13">
        <f t="shared" si="235"/>
        <v>-60.140000000000008</v>
      </c>
      <c r="T214" s="13">
        <f t="shared" si="235"/>
        <v>-56.549999999999983</v>
      </c>
      <c r="U214" s="13">
        <f t="shared" si="235"/>
        <v>-49.609999999999971</v>
      </c>
    </row>
    <row r="215" spans="1:21" x14ac:dyDescent="0.3">
      <c r="B215" t="s">
        <v>87</v>
      </c>
      <c r="L215" s="6" t="s">
        <v>6</v>
      </c>
      <c r="M215" s="1"/>
      <c r="N215" s="1"/>
      <c r="O215" s="1"/>
      <c r="P215" s="1"/>
      <c r="Q215" s="13">
        <f>V19-$U$7-$AA$17*(1-BA31)</f>
        <v>-8.1399999999999579</v>
      </c>
      <c r="R215" s="13">
        <f t="shared" ref="R215:U215" si="236">W19-$U$7-$AA$17*(1-BB31)</f>
        <v>-1.2199999999999491</v>
      </c>
      <c r="S215" s="13">
        <f t="shared" si="236"/>
        <v>-61.359999999999957</v>
      </c>
      <c r="T215" s="13">
        <f t="shared" si="236"/>
        <v>-57.769999999999939</v>
      </c>
      <c r="U215" s="13">
        <f t="shared" si="236"/>
        <v>-50.829999999999913</v>
      </c>
    </row>
    <row r="216" spans="1:21" x14ac:dyDescent="0.3">
      <c r="B216" s="6" t="s">
        <v>1</v>
      </c>
      <c r="C216" s="6" t="s">
        <v>2</v>
      </c>
      <c r="D216" s="6" t="s">
        <v>4</v>
      </c>
      <c r="E216" s="6" t="s">
        <v>6</v>
      </c>
      <c r="F216" s="6" t="s">
        <v>8</v>
      </c>
      <c r="G216" s="6" t="s">
        <v>9</v>
      </c>
      <c r="H216" s="6" t="s">
        <v>11</v>
      </c>
      <c r="I216" s="6" t="s">
        <v>13</v>
      </c>
      <c r="J216" s="6" t="s">
        <v>15</v>
      </c>
      <c r="L216" s="6" t="s">
        <v>8</v>
      </c>
      <c r="M216" s="1"/>
      <c r="N216" s="1"/>
      <c r="O216" s="1"/>
      <c r="P216" s="1"/>
      <c r="Q216" s="1"/>
      <c r="R216" s="1"/>
      <c r="S216" s="13">
        <f>X19-$V$7-$AA$17*(1-BG31)</f>
        <v>-3.5900000000000283</v>
      </c>
      <c r="T216" s="13">
        <f t="shared" ref="T216:U216" si="237">Y19-$V$7-$AA$17*(1-BH31)</f>
        <v>-7.1054273576010019E-15</v>
      </c>
      <c r="U216" s="13">
        <f t="shared" si="237"/>
        <v>-54.66</v>
      </c>
    </row>
    <row r="217" spans="1:21" x14ac:dyDescent="0.3">
      <c r="A217" s="6" t="s">
        <v>1</v>
      </c>
      <c r="B217" s="1"/>
      <c r="C217" s="1"/>
      <c r="D217" s="13">
        <f>$R$21-T6-$AA$17*(1-AD27)</f>
        <v>-61.480000000000004</v>
      </c>
      <c r="E217" s="13">
        <f t="shared" ref="E217:J217" si="238">$R$21-U6-$AA$17*(1-AE27)</f>
        <v>-4.5500000000000078</v>
      </c>
      <c r="F217" s="13">
        <f t="shared" si="238"/>
        <v>-9.4800000000000253</v>
      </c>
      <c r="G217" s="13">
        <f t="shared" si="238"/>
        <v>-12.950000000000021</v>
      </c>
      <c r="H217" s="13">
        <f t="shared" si="238"/>
        <v>-15.509999999999966</v>
      </c>
      <c r="I217" s="13">
        <f t="shared" si="238"/>
        <v>-18.859999999999967</v>
      </c>
      <c r="J217" s="13">
        <f t="shared" si="238"/>
        <v>-22.240000000000062</v>
      </c>
      <c r="L217" s="6" t="s">
        <v>9</v>
      </c>
      <c r="M217" s="1"/>
      <c r="N217" s="1"/>
      <c r="O217" s="1"/>
      <c r="P217" s="1"/>
      <c r="Q217" s="1"/>
      <c r="R217" s="1"/>
      <c r="S217" s="13">
        <f>X19-$W$7-$AA$17*(1-BK31)</f>
        <v>-4.9300000000000317</v>
      </c>
      <c r="T217" s="13">
        <f t="shared" ref="T217:U217" si="239">Y19-$W$7-$AA$17*(1-BL31)</f>
        <v>-1.3400000000000105</v>
      </c>
      <c r="U217" s="13">
        <f t="shared" si="239"/>
        <v>-56</v>
      </c>
    </row>
    <row r="218" spans="1:21" x14ac:dyDescent="0.3">
      <c r="A218" s="6" t="s">
        <v>2</v>
      </c>
      <c r="B218" s="1"/>
      <c r="C218" s="1"/>
      <c r="D218" s="13">
        <f>$S$21-T6-$AA$17*(1-AL27)</f>
        <v>-56.929999999999993</v>
      </c>
      <c r="E218" s="13">
        <f t="shared" ref="E218:J218" si="240">$S$21-U6-$AA$17*(1-AM27)</f>
        <v>3.5527136788005009E-15</v>
      </c>
      <c r="F218" s="13">
        <f t="shared" si="240"/>
        <v>-4.9300000000000139</v>
      </c>
      <c r="G218" s="13">
        <f t="shared" si="240"/>
        <v>-8.4000000000000092</v>
      </c>
      <c r="H218" s="13">
        <f t="shared" si="240"/>
        <v>-10.959999999999955</v>
      </c>
      <c r="I218" s="13">
        <f t="shared" si="240"/>
        <v>-14.309999999999956</v>
      </c>
      <c r="J218" s="13">
        <f t="shared" si="240"/>
        <v>-17.690000000000051</v>
      </c>
      <c r="L218" s="6" t="s">
        <v>11</v>
      </c>
      <c r="M218" s="1"/>
      <c r="N218" s="1"/>
      <c r="O218" s="1"/>
      <c r="P218" s="1"/>
      <c r="Q218" s="1"/>
      <c r="R218" s="1"/>
      <c r="S218" s="1"/>
      <c r="T218" s="13">
        <f>Y19-$X$7-$AA$17*(1-BO31)</f>
        <v>-6.940000000000019</v>
      </c>
      <c r="U218" s="13">
        <f>Z19-$X$7-$AA$17*(1-BP31)</f>
        <v>0</v>
      </c>
    </row>
    <row r="219" spans="1:21" x14ac:dyDescent="0.3">
      <c r="A219" s="6" t="s">
        <v>4</v>
      </c>
      <c r="B219" s="1"/>
      <c r="C219" s="1"/>
      <c r="D219" s="1"/>
      <c r="E219" s="13">
        <f>$T$21-U6-$AA$17*(1-AT27)</f>
        <v>-56.79</v>
      </c>
      <c r="F219" s="13">
        <f t="shared" ref="F219:J219" si="241">$T$21-V6-$AA$17*(1-AU27)</f>
        <v>-0.1200000000000081</v>
      </c>
      <c r="G219" s="13">
        <f t="shared" si="241"/>
        <v>-3.5900000000000034</v>
      </c>
      <c r="H219" s="13">
        <f t="shared" si="241"/>
        <v>-6.1499999999999488</v>
      </c>
      <c r="I219" s="13">
        <f t="shared" si="241"/>
        <v>-9.4999999999999503</v>
      </c>
      <c r="J219" s="13">
        <f t="shared" si="241"/>
        <v>-12.880000000000045</v>
      </c>
      <c r="L219" s="6" t="s">
        <v>13</v>
      </c>
      <c r="M219" s="1"/>
      <c r="N219" s="1"/>
      <c r="O219" s="1"/>
      <c r="P219" s="1"/>
      <c r="Q219" s="1"/>
      <c r="R219" s="1"/>
      <c r="S219" s="1"/>
      <c r="T219" s="1"/>
      <c r="U219" s="13">
        <f>Z19-$Y$7-$AA$17*(1-BR31)</f>
        <v>-0.89000000000000057</v>
      </c>
    </row>
    <row r="220" spans="1:21" x14ac:dyDescent="0.3">
      <c r="A220" s="6" t="s">
        <v>6</v>
      </c>
      <c r="B220" s="1"/>
      <c r="C220" s="1"/>
      <c r="D220" s="1"/>
      <c r="E220" s="1"/>
      <c r="F220" s="13">
        <f>$U$21-V6-$AA$17*(1-BA27)</f>
        <v>-60.500000000000071</v>
      </c>
      <c r="G220" s="13">
        <f t="shared" ref="G220:J220" si="242">$U$21-W6-$AA$17*(1-BB27)</f>
        <v>-2.3700000000000543</v>
      </c>
      <c r="H220" s="13">
        <f t="shared" si="242"/>
        <v>-4.93</v>
      </c>
      <c r="I220" s="13">
        <f t="shared" si="242"/>
        <v>-8.2800000000000011</v>
      </c>
      <c r="J220" s="13">
        <f t="shared" si="242"/>
        <v>-11.660000000000096</v>
      </c>
      <c r="L220" s="6" t="s">
        <v>15</v>
      </c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6" t="s">
        <v>8</v>
      </c>
      <c r="B221" s="1"/>
      <c r="C221" s="1"/>
      <c r="D221" s="1"/>
      <c r="E221" s="1"/>
      <c r="F221" s="1"/>
      <c r="G221" s="1"/>
      <c r="H221" s="13">
        <f>$V$21-X6-$AA$17*(1-BG27)</f>
        <v>7.815970093361102E-14</v>
      </c>
      <c r="I221" s="13">
        <f t="shared" ref="I221:J221" si="243">$V$21-Y6-$AA$17*(1-BH27)</f>
        <v>-3.3499999999999233</v>
      </c>
      <c r="J221" s="13">
        <f t="shared" si="243"/>
        <v>-6.7300000000000182</v>
      </c>
    </row>
    <row r="222" spans="1:21" x14ac:dyDescent="0.3">
      <c r="A222" s="6" t="s">
        <v>9</v>
      </c>
      <c r="B222" s="1"/>
      <c r="C222" s="1"/>
      <c r="D222" s="1"/>
      <c r="E222" s="1"/>
      <c r="F222" s="1"/>
      <c r="G222" s="1"/>
      <c r="H222" s="13">
        <f>$W$21-X6-$AA$17*(1-BK27)</f>
        <v>-60.499999999999922</v>
      </c>
      <c r="I222" s="13">
        <f t="shared" ref="I222:J222" si="244">$W$21-Y6-$AA$17*(1-BL27)</f>
        <v>-2.2499999999999147</v>
      </c>
      <c r="J222" s="13">
        <f t="shared" si="244"/>
        <v>-5.6300000000000097</v>
      </c>
      <c r="M222" t="s">
        <v>93</v>
      </c>
    </row>
    <row r="223" spans="1:21" x14ac:dyDescent="0.3">
      <c r="A223" s="6" t="s">
        <v>11</v>
      </c>
      <c r="B223" s="1"/>
      <c r="C223" s="1"/>
      <c r="D223" s="1"/>
      <c r="E223" s="1"/>
      <c r="F223" s="1"/>
      <c r="G223" s="1"/>
      <c r="H223" s="1"/>
      <c r="I223" s="13">
        <f>$X$21-Y6-$AA$17*(1-BO27)</f>
        <v>-59.109999999999921</v>
      </c>
      <c r="J223" s="13">
        <f>$X$21-Z6-$AA$17*(1-BP27)</f>
        <v>-0.89000000000000767</v>
      </c>
      <c r="M223" t="s">
        <v>87</v>
      </c>
    </row>
    <row r="224" spans="1:21" x14ac:dyDescent="0.3">
      <c r="A224" s="6" t="s">
        <v>13</v>
      </c>
      <c r="B224" s="1"/>
      <c r="C224" s="1"/>
      <c r="D224" s="1"/>
      <c r="E224" s="1"/>
      <c r="F224" s="1"/>
      <c r="G224" s="1"/>
      <c r="H224" s="1"/>
      <c r="I224" s="1"/>
      <c r="J224" s="13">
        <f>$Y$21-Z6-$AA$17*(1-BR27)</f>
        <v>-7.1054273576010019E-15</v>
      </c>
      <c r="M224" s="6" t="s">
        <v>1</v>
      </c>
      <c r="N224" s="6" t="s">
        <v>2</v>
      </c>
      <c r="O224" s="6" t="s">
        <v>4</v>
      </c>
      <c r="P224" s="6" t="s">
        <v>6</v>
      </c>
      <c r="Q224" s="6" t="s">
        <v>8</v>
      </c>
      <c r="R224" s="6" t="s">
        <v>9</v>
      </c>
      <c r="S224" s="6" t="s">
        <v>11</v>
      </c>
      <c r="T224" s="6" t="s">
        <v>13</v>
      </c>
      <c r="U224" s="6" t="s">
        <v>15</v>
      </c>
    </row>
    <row r="225" spans="1:21" x14ac:dyDescent="0.3">
      <c r="A225" s="6" t="s">
        <v>15</v>
      </c>
      <c r="B225" s="1"/>
      <c r="C225" s="1"/>
      <c r="D225" s="1"/>
      <c r="E225" s="1"/>
      <c r="F225" s="1"/>
      <c r="G225" s="1"/>
      <c r="H225" s="1"/>
      <c r="I225" s="1"/>
      <c r="J225" s="1"/>
      <c r="L225" s="6" t="s">
        <v>1</v>
      </c>
      <c r="M225" s="1"/>
      <c r="N225" s="1"/>
      <c r="O225" s="13">
        <f>T20-$R$7-$AA$17*(1-AD32)</f>
        <v>-3.5527136788005009E-15</v>
      </c>
      <c r="P225" s="13">
        <f t="shared" ref="P225:U225" si="245">U20-$R$7-$AA$17*(1-AE32)</f>
        <v>-56.93</v>
      </c>
      <c r="Q225" s="13">
        <f t="shared" si="245"/>
        <v>-51.14</v>
      </c>
      <c r="R225" s="13">
        <f t="shared" si="245"/>
        <v>-47.429999999999964</v>
      </c>
      <c r="S225" s="13">
        <f t="shared" si="245"/>
        <v>-45.970000000000041</v>
      </c>
      <c r="T225" s="13">
        <f t="shared" si="245"/>
        <v>-42.620000000000047</v>
      </c>
      <c r="U225" s="13">
        <f t="shared" si="245"/>
        <v>-37.109999999999943</v>
      </c>
    </row>
    <row r="226" spans="1:21" x14ac:dyDescent="0.3">
      <c r="L226" s="6" t="s">
        <v>2</v>
      </c>
      <c r="M226" s="1"/>
      <c r="N226" s="1"/>
      <c r="O226" s="13">
        <f>T20-$S$7-$AA$17*(1-AL32)</f>
        <v>-2.3200000000000145</v>
      </c>
      <c r="P226" s="13">
        <f t="shared" ref="P226:U226" si="246">U20-$S$7-$AA$17*(1-AM32)</f>
        <v>-59.250000000000014</v>
      </c>
      <c r="Q226" s="13">
        <f t="shared" si="246"/>
        <v>-53.460000000000008</v>
      </c>
      <c r="R226" s="13">
        <f t="shared" si="246"/>
        <v>-49.749999999999979</v>
      </c>
      <c r="S226" s="13">
        <f t="shared" si="246"/>
        <v>-48.290000000000056</v>
      </c>
      <c r="T226" s="13">
        <f t="shared" si="246"/>
        <v>-44.940000000000055</v>
      </c>
      <c r="U226" s="13">
        <f t="shared" si="246"/>
        <v>-39.429999999999957</v>
      </c>
    </row>
    <row r="227" spans="1:21" x14ac:dyDescent="0.3">
      <c r="L227" s="6" t="s">
        <v>4</v>
      </c>
      <c r="M227" s="1"/>
      <c r="N227" s="1"/>
      <c r="O227" s="1"/>
      <c r="P227" s="13">
        <f>U20-$T$7-$AA$17*(1-AT32)</f>
        <v>-4.5700000000000074</v>
      </c>
      <c r="Q227" s="13">
        <f t="shared" ref="Q227:U227" si="247">V20-$T$7-$AA$17*(1-AU32)</f>
        <v>-60.380000000000017</v>
      </c>
      <c r="R227" s="13">
        <f t="shared" si="247"/>
        <v>-56.669999999999987</v>
      </c>
      <c r="S227" s="13">
        <f t="shared" si="247"/>
        <v>-55.210000000000065</v>
      </c>
      <c r="T227" s="13">
        <f t="shared" si="247"/>
        <v>-51.860000000000056</v>
      </c>
      <c r="U227" s="13">
        <f t="shared" si="247"/>
        <v>-46.349999999999966</v>
      </c>
    </row>
    <row r="228" spans="1:21" x14ac:dyDescent="0.3">
      <c r="L228" s="6" t="s">
        <v>6</v>
      </c>
      <c r="M228" s="1"/>
      <c r="N228" s="1"/>
      <c r="O228" s="1"/>
      <c r="P228" s="1"/>
      <c r="Q228" s="13">
        <f>V20-$U$7-$AA$17*(1-BA32)</f>
        <v>4.2632564145606011E-14</v>
      </c>
      <c r="R228" s="13">
        <f t="shared" ref="R228:U228" si="248">W20-$U$7-$AA$17*(1-BB32)</f>
        <v>-57.88999999999993</v>
      </c>
      <c r="S228" s="13">
        <f t="shared" si="248"/>
        <v>-56.430000000000007</v>
      </c>
      <c r="T228" s="13">
        <f t="shared" si="248"/>
        <v>-53.080000000000013</v>
      </c>
      <c r="U228" s="13">
        <f t="shared" si="248"/>
        <v>-47.569999999999908</v>
      </c>
    </row>
    <row r="229" spans="1:21" x14ac:dyDescent="0.3">
      <c r="L229" s="6" t="s">
        <v>8</v>
      </c>
      <c r="M229" s="1"/>
      <c r="N229" s="1"/>
      <c r="O229" s="1"/>
      <c r="P229" s="1"/>
      <c r="Q229" s="1"/>
      <c r="R229" s="1"/>
      <c r="S229" s="13">
        <f>X20-$V$7-$AA$17*(1-BG32)</f>
        <v>-60.26000000000009</v>
      </c>
      <c r="T229" s="13">
        <f t="shared" ref="T229:U229" si="249">Y20-$V$7-$AA$17*(1-BH32)</f>
        <v>-56.910000000000089</v>
      </c>
      <c r="U229" s="13">
        <f t="shared" si="249"/>
        <v>-51.399999999999991</v>
      </c>
    </row>
    <row r="230" spans="1:21" x14ac:dyDescent="0.3">
      <c r="L230" s="6" t="s">
        <v>9</v>
      </c>
      <c r="M230" s="1"/>
      <c r="N230" s="1"/>
      <c r="O230" s="1"/>
      <c r="P230" s="1"/>
      <c r="Q230" s="1"/>
      <c r="R230" s="1"/>
      <c r="S230" s="13">
        <f>X20-$W$7-$AA$17*(1-BK32)</f>
        <v>-8.5265128291212022E-14</v>
      </c>
      <c r="T230" s="13">
        <f t="shared" ref="T230:U230" si="250">Y20-$W$7-$AA$17*(1-BL32)</f>
        <v>-58.250000000000092</v>
      </c>
      <c r="U230" s="13">
        <f t="shared" si="250"/>
        <v>-52.739999999999995</v>
      </c>
    </row>
    <row r="231" spans="1:21" x14ac:dyDescent="0.3">
      <c r="L231" s="6" t="s">
        <v>11</v>
      </c>
      <c r="M231" s="1"/>
      <c r="N231" s="1"/>
      <c r="O231" s="1"/>
      <c r="P231" s="1"/>
      <c r="Q231" s="1"/>
      <c r="R231" s="1"/>
      <c r="S231" s="1"/>
      <c r="T231" s="13">
        <f>Y20-$X$7-$AA$17*(1-BO32)</f>
        <v>-2.2500000000000924</v>
      </c>
      <c r="U231" s="13">
        <f>Z20-$X$7-$AA$17*(1-BP32)</f>
        <v>-58.34</v>
      </c>
    </row>
    <row r="232" spans="1:21" x14ac:dyDescent="0.3">
      <c r="L232" s="6" t="s">
        <v>13</v>
      </c>
      <c r="M232" s="1"/>
      <c r="N232" s="1"/>
      <c r="O232" s="1"/>
      <c r="P232" s="1"/>
      <c r="Q232" s="1"/>
      <c r="R232" s="1"/>
      <c r="S232" s="1"/>
      <c r="T232" s="1"/>
      <c r="U232" s="13">
        <f>Z20-$Y$7-$AA$17*(1-BR32)</f>
        <v>-59.230000000000004</v>
      </c>
    </row>
    <row r="233" spans="1:21" x14ac:dyDescent="0.3">
      <c r="L233" s="6" t="s">
        <v>15</v>
      </c>
      <c r="M233" s="1"/>
      <c r="N233" s="1"/>
      <c r="O233" s="1"/>
      <c r="P233" s="1"/>
      <c r="Q233" s="1"/>
      <c r="R233" s="1"/>
      <c r="S233" s="1"/>
      <c r="T233" s="1"/>
      <c r="U23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93C6-AF4F-4714-9F0D-CCB7BFF54ACD}">
  <dimension ref="A1:L36"/>
  <sheetViews>
    <sheetView workbookViewId="0">
      <selection activeCell="A30" sqref="A30:E36"/>
    </sheetView>
  </sheetViews>
  <sheetFormatPr defaultRowHeight="14.4" x14ac:dyDescent="0.3"/>
  <cols>
    <col min="1" max="1" width="20.33203125" customWidth="1"/>
    <col min="2" max="2" width="13.88671875" customWidth="1"/>
    <col min="4" max="4" width="21.77734375" customWidth="1"/>
    <col min="5" max="5" width="19.109375" customWidth="1"/>
    <col min="7" max="7" width="12" customWidth="1"/>
    <col min="8" max="8" width="30" customWidth="1"/>
  </cols>
  <sheetData>
    <row r="1" spans="1:12" x14ac:dyDescent="0.3">
      <c r="A1" s="1" t="s">
        <v>102</v>
      </c>
      <c r="B1" s="1" t="s">
        <v>117</v>
      </c>
      <c r="C1" s="1" t="s">
        <v>103</v>
      </c>
      <c r="D1" s="1" t="s">
        <v>108</v>
      </c>
      <c r="E1" s="1" t="s">
        <v>110</v>
      </c>
      <c r="F1" s="1"/>
      <c r="G1" s="1" t="s">
        <v>109</v>
      </c>
      <c r="H1" s="1" t="s">
        <v>119</v>
      </c>
      <c r="I1" s="1" t="s">
        <v>120</v>
      </c>
      <c r="J1" s="7"/>
    </row>
    <row r="2" spans="1:12" x14ac:dyDescent="0.3">
      <c r="A2" s="1">
        <v>2</v>
      </c>
      <c r="B2" s="1">
        <f>A2*250</f>
        <v>500</v>
      </c>
      <c r="C2" s="1">
        <f>18.19</f>
        <v>18.190000000000001</v>
      </c>
      <c r="D2" s="1">
        <f>$E$9/C2</f>
        <v>26.38812534359538</v>
      </c>
      <c r="E2" s="1">
        <f>8*18</f>
        <v>144</v>
      </c>
      <c r="F2" s="1"/>
      <c r="G2" s="1">
        <f>ROUNDDOWN(D2,0)</f>
        <v>26</v>
      </c>
      <c r="H2" s="1">
        <f>B2*(A2*0.1)</f>
        <v>100</v>
      </c>
      <c r="I2" s="1">
        <v>2600</v>
      </c>
    </row>
    <row r="3" spans="1:12" x14ac:dyDescent="0.3">
      <c r="A3" s="1">
        <v>3</v>
      </c>
      <c r="B3" s="1">
        <f t="shared" ref="B3:B7" si="0">A3*250</f>
        <v>750</v>
      </c>
      <c r="C3" s="1">
        <f>24.09</f>
        <v>24.09</v>
      </c>
      <c r="D3" s="1">
        <f t="shared" ref="D3:D7" si="1">$E$9/C3</f>
        <v>19.925280199252803</v>
      </c>
      <c r="E3" s="1">
        <f t="shared" ref="E3:E6" si="2">8*18</f>
        <v>144</v>
      </c>
      <c r="F3" s="1"/>
      <c r="G3" s="1">
        <f t="shared" ref="G3:G7" si="3">ROUNDDOWN(D3,0)</f>
        <v>19</v>
      </c>
      <c r="H3" s="1">
        <f t="shared" ref="H3:H7" si="4">B3*(A3*0.1)</f>
        <v>225.00000000000003</v>
      </c>
      <c r="I3" s="1">
        <v>4275.0000000000009</v>
      </c>
    </row>
    <row r="4" spans="1:12" x14ac:dyDescent="0.3">
      <c r="A4" s="1">
        <v>4</v>
      </c>
      <c r="B4" s="1">
        <f t="shared" si="0"/>
        <v>1000</v>
      </c>
      <c r="C4" s="1">
        <f>30.09</f>
        <v>30.09</v>
      </c>
      <c r="D4" s="1">
        <f t="shared" si="1"/>
        <v>15.952143569292124</v>
      </c>
      <c r="E4" s="1">
        <f t="shared" si="2"/>
        <v>144</v>
      </c>
      <c r="F4" s="1"/>
      <c r="G4" s="1">
        <f t="shared" si="3"/>
        <v>15</v>
      </c>
      <c r="H4" s="1">
        <f t="shared" si="4"/>
        <v>400</v>
      </c>
      <c r="I4" s="1">
        <v>6000</v>
      </c>
    </row>
    <row r="5" spans="1:12" x14ac:dyDescent="0.3">
      <c r="A5" s="1">
        <v>5</v>
      </c>
      <c r="B5" s="1">
        <f t="shared" si="0"/>
        <v>1250</v>
      </c>
      <c r="C5" s="1">
        <f>37.02</f>
        <v>37.020000000000003</v>
      </c>
      <c r="D5" s="1">
        <f t="shared" si="1"/>
        <v>12.965964343598054</v>
      </c>
      <c r="E5" s="1">
        <f t="shared" si="2"/>
        <v>144</v>
      </c>
      <c r="F5" s="1"/>
      <c r="G5" s="1">
        <f t="shared" si="3"/>
        <v>12</v>
      </c>
      <c r="H5" s="1">
        <f>B5*(A5*0.1)</f>
        <v>625</v>
      </c>
      <c r="I5" s="1">
        <v>7500</v>
      </c>
    </row>
    <row r="6" spans="1:12" x14ac:dyDescent="0.3">
      <c r="A6" s="1">
        <v>6</v>
      </c>
      <c r="B6" s="1">
        <f t="shared" si="0"/>
        <v>1500</v>
      </c>
      <c r="C6" s="1">
        <f>44.83</f>
        <v>44.83</v>
      </c>
      <c r="D6" s="1">
        <f t="shared" si="1"/>
        <v>10.707115770689271</v>
      </c>
      <c r="E6" s="1">
        <f t="shared" si="2"/>
        <v>144</v>
      </c>
      <c r="F6" s="1"/>
      <c r="G6" s="1">
        <f t="shared" si="3"/>
        <v>10</v>
      </c>
      <c r="H6" s="1">
        <f t="shared" si="4"/>
        <v>900.00000000000011</v>
      </c>
      <c r="I6" s="1">
        <v>9000.0000000000018</v>
      </c>
    </row>
    <row r="7" spans="1:12" x14ac:dyDescent="0.3">
      <c r="A7" s="1">
        <v>1</v>
      </c>
      <c r="B7" s="1">
        <f t="shared" si="0"/>
        <v>250</v>
      </c>
      <c r="C7" s="1">
        <f>15.38</f>
        <v>15.38</v>
      </c>
      <c r="D7" s="1">
        <f t="shared" si="1"/>
        <v>31.209362808842652</v>
      </c>
      <c r="E7" s="1">
        <v>144</v>
      </c>
      <c r="F7" s="1"/>
      <c r="G7" s="1">
        <f t="shared" si="3"/>
        <v>31</v>
      </c>
      <c r="H7" s="1">
        <f t="shared" si="4"/>
        <v>25</v>
      </c>
      <c r="I7" s="1">
        <v>775</v>
      </c>
    </row>
    <row r="9" spans="1:12" x14ac:dyDescent="0.3">
      <c r="D9" t="s">
        <v>104</v>
      </c>
      <c r="E9">
        <f>480</f>
        <v>480</v>
      </c>
    </row>
    <row r="10" spans="1:12" x14ac:dyDescent="0.3">
      <c r="D10" t="s">
        <v>105</v>
      </c>
    </row>
    <row r="11" spans="1:12" x14ac:dyDescent="0.3">
      <c r="D11" t="s">
        <v>106</v>
      </c>
    </row>
    <row r="12" spans="1:12" x14ac:dyDescent="0.3">
      <c r="D12" t="s">
        <v>107</v>
      </c>
    </row>
    <row r="13" spans="1:12" x14ac:dyDescent="0.3">
      <c r="H13" s="1" t="s">
        <v>120</v>
      </c>
      <c r="J13" s="1">
        <v>1</v>
      </c>
      <c r="K13" s="1">
        <v>775</v>
      </c>
      <c r="L13">
        <v>675</v>
      </c>
    </row>
    <row r="14" spans="1:12" x14ac:dyDescent="0.3">
      <c r="H14" s="1">
        <f>F14*G14</f>
        <v>0</v>
      </c>
      <c r="J14" s="1">
        <v>2</v>
      </c>
      <c r="K14" s="1">
        <v>2600</v>
      </c>
      <c r="L14">
        <v>2300</v>
      </c>
    </row>
    <row r="15" spans="1:12" x14ac:dyDescent="0.3">
      <c r="H15" s="1">
        <f t="shared" ref="H15:H19" si="5">F15*G15</f>
        <v>0</v>
      </c>
      <c r="J15" s="1">
        <v>3</v>
      </c>
      <c r="K15" s="1">
        <v>4275.0000000000009</v>
      </c>
      <c r="L15">
        <v>3600.0000000000005</v>
      </c>
    </row>
    <row r="16" spans="1:12" x14ac:dyDescent="0.3">
      <c r="H16" s="1">
        <f t="shared" si="5"/>
        <v>0</v>
      </c>
      <c r="J16" s="1">
        <v>4</v>
      </c>
      <c r="K16" s="1">
        <v>6000</v>
      </c>
      <c r="L16">
        <v>4800</v>
      </c>
    </row>
    <row r="17" spans="1:12" x14ac:dyDescent="0.3">
      <c r="H17" s="1">
        <f t="shared" si="5"/>
        <v>0</v>
      </c>
      <c r="J17" s="1">
        <v>5</v>
      </c>
      <c r="K17" s="1">
        <v>7500</v>
      </c>
      <c r="L17">
        <v>6250</v>
      </c>
    </row>
    <row r="18" spans="1:12" x14ac:dyDescent="0.3">
      <c r="H18" s="1">
        <f t="shared" si="5"/>
        <v>0</v>
      </c>
      <c r="J18" s="1">
        <v>6</v>
      </c>
      <c r="K18" s="1">
        <v>9000.0000000000018</v>
      </c>
      <c r="L18">
        <v>7200.0000000000009</v>
      </c>
    </row>
    <row r="19" spans="1:12" x14ac:dyDescent="0.3">
      <c r="H19" s="1">
        <f t="shared" si="5"/>
        <v>0</v>
      </c>
      <c r="J19" s="1"/>
      <c r="K19" s="1"/>
    </row>
    <row r="21" spans="1:12" x14ac:dyDescent="0.3">
      <c r="A21" s="1" t="s">
        <v>102</v>
      </c>
      <c r="B21" s="1" t="s">
        <v>117</v>
      </c>
      <c r="C21" s="1" t="s">
        <v>103</v>
      </c>
      <c r="D21" s="1" t="s">
        <v>108</v>
      </c>
      <c r="E21" s="1" t="s">
        <v>110</v>
      </c>
      <c r="F21" s="1"/>
      <c r="G21" s="1" t="s">
        <v>109</v>
      </c>
      <c r="H21" s="1" t="s">
        <v>119</v>
      </c>
      <c r="I21" s="1" t="s">
        <v>120</v>
      </c>
    </row>
    <row r="22" spans="1:12" x14ac:dyDescent="0.3">
      <c r="A22" s="1">
        <v>1</v>
      </c>
      <c r="B22" s="1">
        <f t="shared" ref="B22" si="6">A22*250</f>
        <v>250</v>
      </c>
      <c r="C22" s="1">
        <f>15.38</f>
        <v>15.38</v>
      </c>
      <c r="D22" s="1">
        <f>$E$9/C22</f>
        <v>31.209362808842652</v>
      </c>
      <c r="E22" s="1">
        <f>8*18</f>
        <v>144</v>
      </c>
      <c r="F22" s="1"/>
      <c r="G22" s="1">
        <f>ROUNDDOWN(D22,0)</f>
        <v>31</v>
      </c>
      <c r="H22" s="1">
        <f>A22*(0.1*B22)</f>
        <v>25</v>
      </c>
      <c r="I22" s="1">
        <f>H22*G22</f>
        <v>775</v>
      </c>
    </row>
    <row r="23" spans="1:12" x14ac:dyDescent="0.3">
      <c r="A23" s="1">
        <v>2</v>
      </c>
      <c r="B23" s="1">
        <f>A23*250</f>
        <v>500</v>
      </c>
      <c r="C23" s="1">
        <f>18.19</f>
        <v>18.190000000000001</v>
      </c>
      <c r="D23" s="1">
        <f t="shared" ref="D23:D27" si="7">$E$9/C23</f>
        <v>26.38812534359538</v>
      </c>
      <c r="E23" s="1">
        <f t="shared" ref="E23:E26" si="8">8*18</f>
        <v>144</v>
      </c>
      <c r="F23" s="1"/>
      <c r="G23" s="1">
        <f t="shared" ref="G23:G27" si="9">ROUNDDOWN(D23,0)</f>
        <v>26</v>
      </c>
      <c r="H23" s="1">
        <f t="shared" ref="H23:H27" si="10">A23*(0.1*B23)</f>
        <v>100</v>
      </c>
      <c r="I23" s="1">
        <f t="shared" ref="I23:I27" si="11">H23*G23</f>
        <v>2600</v>
      </c>
    </row>
    <row r="24" spans="1:12" x14ac:dyDescent="0.3">
      <c r="A24" s="1">
        <v>3</v>
      </c>
      <c r="B24" s="1">
        <f t="shared" ref="B24:B27" si="12">A24*250</f>
        <v>750</v>
      </c>
      <c r="C24" s="1">
        <f>24.09</f>
        <v>24.09</v>
      </c>
      <c r="D24" s="1">
        <f t="shared" si="7"/>
        <v>19.925280199252803</v>
      </c>
      <c r="E24" s="1">
        <f t="shared" si="8"/>
        <v>144</v>
      </c>
      <c r="F24" s="1"/>
      <c r="G24" s="1">
        <f t="shared" si="9"/>
        <v>19</v>
      </c>
      <c r="H24" s="1">
        <f t="shared" si="10"/>
        <v>225</v>
      </c>
      <c r="I24" s="1">
        <f t="shared" si="11"/>
        <v>4275</v>
      </c>
    </row>
    <row r="25" spans="1:12" x14ac:dyDescent="0.3">
      <c r="A25" s="1">
        <v>4</v>
      </c>
      <c r="B25" s="1">
        <f t="shared" si="12"/>
        <v>1000</v>
      </c>
      <c r="C25" s="1">
        <f>30.09</f>
        <v>30.09</v>
      </c>
      <c r="D25" s="1">
        <f t="shared" si="7"/>
        <v>15.952143569292124</v>
      </c>
      <c r="E25" s="1">
        <f t="shared" si="8"/>
        <v>144</v>
      </c>
      <c r="F25" s="1"/>
      <c r="G25" s="1">
        <f t="shared" si="9"/>
        <v>15</v>
      </c>
      <c r="H25" s="1">
        <f t="shared" si="10"/>
        <v>400</v>
      </c>
      <c r="I25" s="1">
        <f t="shared" si="11"/>
        <v>6000</v>
      </c>
    </row>
    <row r="26" spans="1:12" x14ac:dyDescent="0.3">
      <c r="A26" s="1">
        <v>5</v>
      </c>
      <c r="B26" s="1">
        <f t="shared" si="12"/>
        <v>1250</v>
      </c>
      <c r="C26" s="1">
        <f>37.02</f>
        <v>37.020000000000003</v>
      </c>
      <c r="D26" s="1">
        <f t="shared" si="7"/>
        <v>12.965964343598054</v>
      </c>
      <c r="E26" s="1">
        <f t="shared" si="8"/>
        <v>144</v>
      </c>
      <c r="F26" s="1"/>
      <c r="G26" s="1">
        <f t="shared" si="9"/>
        <v>12</v>
      </c>
      <c r="H26" s="1">
        <f t="shared" si="10"/>
        <v>625</v>
      </c>
      <c r="I26" s="1">
        <f t="shared" si="11"/>
        <v>7500</v>
      </c>
    </row>
    <row r="27" spans="1:12" x14ac:dyDescent="0.3">
      <c r="A27" s="1">
        <v>6</v>
      </c>
      <c r="B27" s="1">
        <f t="shared" si="12"/>
        <v>1500</v>
      </c>
      <c r="C27" s="1">
        <f>44.83</f>
        <v>44.83</v>
      </c>
      <c r="D27" s="1">
        <f t="shared" si="7"/>
        <v>10.707115770689271</v>
      </c>
      <c r="E27" s="1">
        <v>144</v>
      </c>
      <c r="F27" s="1"/>
      <c r="G27" s="1">
        <f t="shared" si="9"/>
        <v>10</v>
      </c>
      <c r="H27" s="1">
        <f t="shared" si="10"/>
        <v>900</v>
      </c>
      <c r="I27" s="1">
        <f t="shared" si="11"/>
        <v>9000</v>
      </c>
    </row>
    <row r="30" spans="1:12" x14ac:dyDescent="0.3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125</v>
      </c>
      <c r="H30" t="s">
        <v>126</v>
      </c>
      <c r="I30">
        <v>6</v>
      </c>
    </row>
    <row r="31" spans="1:12" x14ac:dyDescent="0.3">
      <c r="A31" s="1">
        <v>1</v>
      </c>
      <c r="B31" s="1">
        <f>(B22/1000)*6</f>
        <v>1.5</v>
      </c>
      <c r="C31" s="1">
        <f>(I22/1000)*12</f>
        <v>9.3000000000000007</v>
      </c>
      <c r="D31" s="1">
        <f>C31-B31</f>
        <v>7.8000000000000007</v>
      </c>
      <c r="E31" s="1">
        <f>D31/B31</f>
        <v>5.2</v>
      </c>
      <c r="H31" t="s">
        <v>127</v>
      </c>
      <c r="I31">
        <v>12</v>
      </c>
    </row>
    <row r="32" spans="1:12" x14ac:dyDescent="0.3">
      <c r="A32" s="1">
        <v>2</v>
      </c>
      <c r="B32" s="1">
        <f t="shared" ref="B32:B36" si="13">(B23/1000)*6</f>
        <v>3</v>
      </c>
      <c r="C32" s="1">
        <f t="shared" ref="C32:C36" si="14">(I23/1000)*12</f>
        <v>31.200000000000003</v>
      </c>
      <c r="D32" s="1">
        <f t="shared" ref="D32:D36" si="15">C32-B32</f>
        <v>28.200000000000003</v>
      </c>
      <c r="E32" s="1">
        <f t="shared" ref="E32:E36" si="16">D32/B32</f>
        <v>9.4</v>
      </c>
    </row>
    <row r="33" spans="1:5" x14ac:dyDescent="0.3">
      <c r="A33" s="1">
        <v>3</v>
      </c>
      <c r="B33" s="1">
        <f t="shared" si="13"/>
        <v>4.5</v>
      </c>
      <c r="C33" s="1">
        <f t="shared" si="14"/>
        <v>51.300000000000004</v>
      </c>
      <c r="D33" s="1">
        <f t="shared" si="15"/>
        <v>46.800000000000004</v>
      </c>
      <c r="E33" s="1">
        <f t="shared" si="16"/>
        <v>10.4</v>
      </c>
    </row>
    <row r="34" spans="1:5" x14ac:dyDescent="0.3">
      <c r="A34" s="1">
        <v>4</v>
      </c>
      <c r="B34" s="1">
        <f t="shared" si="13"/>
        <v>6</v>
      </c>
      <c r="C34" s="1">
        <f t="shared" si="14"/>
        <v>72</v>
      </c>
      <c r="D34" s="1">
        <f t="shared" si="15"/>
        <v>66</v>
      </c>
      <c r="E34" s="1">
        <f t="shared" si="16"/>
        <v>11</v>
      </c>
    </row>
    <row r="35" spans="1:5" x14ac:dyDescent="0.3">
      <c r="A35" s="1">
        <v>5</v>
      </c>
      <c r="B35" s="1">
        <f t="shared" si="13"/>
        <v>7.5</v>
      </c>
      <c r="C35" s="1">
        <f t="shared" si="14"/>
        <v>90</v>
      </c>
      <c r="D35" s="1">
        <f t="shared" si="15"/>
        <v>82.5</v>
      </c>
      <c r="E35" s="1">
        <f t="shared" si="16"/>
        <v>11</v>
      </c>
    </row>
    <row r="36" spans="1:5" x14ac:dyDescent="0.3">
      <c r="A36" s="1">
        <v>6</v>
      </c>
      <c r="B36" s="1">
        <f t="shared" si="13"/>
        <v>9</v>
      </c>
      <c r="C36" s="1">
        <f t="shared" si="14"/>
        <v>108</v>
      </c>
      <c r="D36" s="1">
        <f t="shared" si="15"/>
        <v>99</v>
      </c>
      <c r="E36" s="1">
        <f t="shared" si="16"/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0DCC-495D-4119-A5E8-B69D72E8606D}">
  <dimension ref="A1:BS167"/>
  <sheetViews>
    <sheetView topLeftCell="A2" zoomScale="68" zoomScaleNormal="68" workbookViewId="0">
      <selection activeCell="A14" sqref="A14:P20"/>
    </sheetView>
  </sheetViews>
  <sheetFormatPr defaultRowHeight="14.4" x14ac:dyDescent="0.3"/>
  <cols>
    <col min="3" max="3" width="13.33203125" bestFit="1" customWidth="1"/>
    <col min="18" max="18" width="12.5546875" bestFit="1" customWidth="1"/>
    <col min="32" max="32" width="13.21875" bestFit="1" customWidth="1"/>
  </cols>
  <sheetData>
    <row r="1" spans="1:71" x14ac:dyDescent="0.3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6" t="s">
        <v>15</v>
      </c>
      <c r="R1" s="3" t="s">
        <v>1</v>
      </c>
      <c r="S1" s="3" t="s">
        <v>2</v>
      </c>
      <c r="T1" s="3" t="s">
        <v>4</v>
      </c>
      <c r="U1" s="3" t="s">
        <v>6</v>
      </c>
      <c r="V1" s="3" t="s">
        <v>8</v>
      </c>
      <c r="W1" s="3" t="s">
        <v>9</v>
      </c>
      <c r="X1" s="3" t="s">
        <v>11</v>
      </c>
      <c r="Y1" s="3" t="s">
        <v>13</v>
      </c>
      <c r="Z1" s="3" t="s">
        <v>15</v>
      </c>
      <c r="AG1" t="s">
        <v>36</v>
      </c>
    </row>
    <row r="2" spans="1:71" x14ac:dyDescent="0.3">
      <c r="A2" s="1" t="s">
        <v>16</v>
      </c>
      <c r="B2" s="1">
        <v>0</v>
      </c>
      <c r="C2" s="1">
        <v>2.23</v>
      </c>
      <c r="D2" s="1">
        <v>1.34</v>
      </c>
      <c r="E2" s="1">
        <v>0.12</v>
      </c>
      <c r="F2" s="1">
        <v>0.77</v>
      </c>
      <c r="G2" s="1">
        <v>0.12</v>
      </c>
      <c r="H2" s="1">
        <v>2</v>
      </c>
      <c r="I2" s="1">
        <v>0.41999999999998572</v>
      </c>
      <c r="J2" s="1">
        <v>1.7800000000000145</v>
      </c>
      <c r="K2" s="1">
        <v>1.34</v>
      </c>
      <c r="L2" s="1">
        <v>0.12</v>
      </c>
      <c r="M2" s="1">
        <v>0.77</v>
      </c>
      <c r="N2" s="1">
        <v>0.12</v>
      </c>
      <c r="O2" s="1">
        <v>2</v>
      </c>
      <c r="P2" s="1">
        <v>2.25</v>
      </c>
      <c r="Q2" t="s">
        <v>31</v>
      </c>
      <c r="R2" s="1">
        <f t="shared" ref="R2:S5" si="0">B16</f>
        <v>0</v>
      </c>
      <c r="S2" s="1">
        <f t="shared" si="0"/>
        <v>0</v>
      </c>
      <c r="T2" s="1">
        <f>E16</f>
        <v>3.5699999999958436</v>
      </c>
      <c r="U2" s="1">
        <f>G16</f>
        <v>4.5799999999999983</v>
      </c>
      <c r="V2" s="1">
        <f t="shared" ref="V2:W5" si="1">I16</f>
        <v>6.7</v>
      </c>
      <c r="W2" s="1">
        <f t="shared" si="1"/>
        <v>8.7200000000000042</v>
      </c>
      <c r="X2" s="1">
        <f>L16</f>
        <v>11.840000000000018</v>
      </c>
      <c r="Y2" s="1">
        <f>N16</f>
        <v>14.280000000000026</v>
      </c>
      <c r="Z2" s="1">
        <f>P16</f>
        <v>19.430000000000053</v>
      </c>
      <c r="AA2" t="s">
        <v>17</v>
      </c>
      <c r="AD2" s="6" t="s">
        <v>4</v>
      </c>
      <c r="AE2" s="6" t="s">
        <v>6</v>
      </c>
      <c r="AF2" s="6" t="s">
        <v>8</v>
      </c>
      <c r="AG2" s="6" t="s">
        <v>9</v>
      </c>
      <c r="AH2" s="6" t="s">
        <v>11</v>
      </c>
      <c r="AI2" s="6" t="s">
        <v>13</v>
      </c>
      <c r="AJ2" s="6" t="s">
        <v>15</v>
      </c>
      <c r="AL2" s="6" t="s">
        <v>4</v>
      </c>
      <c r="AM2" s="6" t="s">
        <v>6</v>
      </c>
      <c r="AN2" s="6" t="s">
        <v>8</v>
      </c>
      <c r="AO2" s="6" t="s">
        <v>9</v>
      </c>
      <c r="AP2" s="6" t="s">
        <v>11</v>
      </c>
      <c r="AQ2" s="6" t="s">
        <v>13</v>
      </c>
      <c r="AR2" s="6" t="s">
        <v>15</v>
      </c>
      <c r="AT2" s="6" t="s">
        <v>6</v>
      </c>
      <c r="AU2" s="6" t="s">
        <v>8</v>
      </c>
      <c r="AV2" s="6" t="s">
        <v>9</v>
      </c>
      <c r="AW2" s="6" t="s">
        <v>11</v>
      </c>
      <c r="AX2" s="6" t="s">
        <v>13</v>
      </c>
      <c r="AY2" s="6" t="s">
        <v>15</v>
      </c>
      <c r="BA2" s="6" t="s">
        <v>8</v>
      </c>
      <c r="BB2" s="6" t="s">
        <v>9</v>
      </c>
      <c r="BC2" s="6" t="s">
        <v>11</v>
      </c>
      <c r="BD2" s="6" t="s">
        <v>13</v>
      </c>
      <c r="BE2" s="6" t="s">
        <v>15</v>
      </c>
      <c r="BG2" s="6" t="s">
        <v>11</v>
      </c>
      <c r="BH2" s="6" t="s">
        <v>13</v>
      </c>
      <c r="BI2" s="6" t="s">
        <v>15</v>
      </c>
      <c r="BK2" s="6" t="s">
        <v>11</v>
      </c>
      <c r="BL2" s="6" t="s">
        <v>13</v>
      </c>
      <c r="BM2" s="6" t="s">
        <v>15</v>
      </c>
      <c r="BO2" s="6" t="s">
        <v>13</v>
      </c>
      <c r="BP2" s="6" t="s">
        <v>15</v>
      </c>
      <c r="BR2" s="6" t="s">
        <v>15</v>
      </c>
    </row>
    <row r="3" spans="1:71" x14ac:dyDescent="0.3">
      <c r="A3" s="1" t="s">
        <v>18</v>
      </c>
      <c r="B3" s="1">
        <v>1.3399999999958498</v>
      </c>
      <c r="C3" s="1">
        <v>0.89000000000415014</v>
      </c>
      <c r="D3" s="1">
        <v>1.34</v>
      </c>
      <c r="E3" s="1">
        <v>0.12</v>
      </c>
      <c r="F3" s="1">
        <v>0.77</v>
      </c>
      <c r="G3" s="1">
        <v>0.12</v>
      </c>
      <c r="H3" s="1">
        <v>2</v>
      </c>
      <c r="I3" s="1">
        <v>0</v>
      </c>
      <c r="J3" s="1">
        <v>2.2000000000000002</v>
      </c>
      <c r="K3" s="1">
        <v>1.34</v>
      </c>
      <c r="L3" s="1">
        <v>0.12</v>
      </c>
      <c r="M3" s="1">
        <v>0.77</v>
      </c>
      <c r="N3" s="1">
        <v>0.12</v>
      </c>
      <c r="O3" s="1">
        <v>2</v>
      </c>
      <c r="P3" s="1">
        <v>2.25</v>
      </c>
      <c r="Q3" t="s">
        <v>32</v>
      </c>
      <c r="R3" s="1">
        <f t="shared" si="0"/>
        <v>2.23</v>
      </c>
      <c r="S3" s="1">
        <f t="shared" si="0"/>
        <v>3.6899999999958482</v>
      </c>
      <c r="T3" s="1">
        <f t="shared" ref="T3:T5" si="2">E17</f>
        <v>6.5799999999999939</v>
      </c>
      <c r="U3" s="1">
        <f t="shared" ref="U3:U5" si="3">G17</f>
        <v>7.4699999999999935</v>
      </c>
      <c r="V3" s="1">
        <f t="shared" si="1"/>
        <v>10.620000000000022</v>
      </c>
      <c r="W3" s="1">
        <f t="shared" si="1"/>
        <v>11.960000000000022</v>
      </c>
      <c r="X3" s="1">
        <f t="shared" ref="X3:X5" si="4">L17</f>
        <v>17.850000000000001</v>
      </c>
      <c r="Y3" s="1">
        <f t="shared" ref="Y3:Y5" si="5">N17</f>
        <v>19.190000000000044</v>
      </c>
      <c r="Z3" s="1">
        <f t="shared" ref="Z3:Z5" si="6">P17</f>
        <v>24.120000000000065</v>
      </c>
      <c r="AB3">
        <v>1</v>
      </c>
      <c r="AC3" t="s">
        <v>46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L3" s="1">
        <v>0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T3" s="1">
        <v>0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BA3" s="1">
        <v>0</v>
      </c>
      <c r="BB3" s="1">
        <v>1</v>
      </c>
      <c r="BC3" s="1">
        <v>1</v>
      </c>
      <c r="BD3" s="1">
        <v>1</v>
      </c>
      <c r="BE3" s="1">
        <v>1</v>
      </c>
      <c r="BG3" s="1">
        <v>1</v>
      </c>
      <c r="BH3" s="1">
        <v>1</v>
      </c>
      <c r="BI3" s="1">
        <v>1</v>
      </c>
      <c r="BK3" s="1">
        <v>0</v>
      </c>
      <c r="BL3" s="1">
        <v>1</v>
      </c>
      <c r="BM3" s="1">
        <v>1</v>
      </c>
      <c r="BO3" s="1">
        <v>0</v>
      </c>
      <c r="BP3" s="1">
        <v>1</v>
      </c>
      <c r="BR3" s="1">
        <v>1</v>
      </c>
    </row>
    <row r="4" spans="1:71" x14ac:dyDescent="0.3">
      <c r="A4" s="1" t="s">
        <v>26</v>
      </c>
      <c r="B4" s="1">
        <v>1.8799999999999941</v>
      </c>
      <c r="C4" s="1">
        <v>0.35</v>
      </c>
      <c r="D4" s="1">
        <v>1.34</v>
      </c>
      <c r="E4" s="1">
        <v>0.12</v>
      </c>
      <c r="F4" s="1">
        <v>0.77</v>
      </c>
      <c r="G4" s="1">
        <v>0.12</v>
      </c>
      <c r="H4" s="1">
        <v>2</v>
      </c>
      <c r="I4" s="1">
        <v>1.1000000000000001</v>
      </c>
      <c r="J4" s="1">
        <v>1.1000000000000001</v>
      </c>
      <c r="K4" s="1">
        <v>1.34</v>
      </c>
      <c r="L4" s="1">
        <v>0.12</v>
      </c>
      <c r="M4" s="1">
        <v>0.77</v>
      </c>
      <c r="N4" s="1">
        <v>0.12</v>
      </c>
      <c r="O4" s="1">
        <v>2</v>
      </c>
      <c r="P4" s="1">
        <v>2.25</v>
      </c>
      <c r="Q4" t="s">
        <v>33</v>
      </c>
      <c r="R4" s="1">
        <f t="shared" si="0"/>
        <v>4.7</v>
      </c>
      <c r="S4" s="1">
        <f t="shared" si="0"/>
        <v>7.1199999999999877</v>
      </c>
      <c r="T4" s="1">
        <f t="shared" si="2"/>
        <v>10.5</v>
      </c>
      <c r="U4" s="1">
        <f t="shared" si="3"/>
        <v>11.720000000000013</v>
      </c>
      <c r="V4" s="1">
        <f t="shared" si="1"/>
        <v>16.75</v>
      </c>
      <c r="W4" s="1">
        <f t="shared" si="1"/>
        <v>18.090000000000035</v>
      </c>
      <c r="X4" s="1">
        <f t="shared" si="4"/>
        <v>21.680000000000053</v>
      </c>
      <c r="Y4" s="1">
        <f t="shared" si="5"/>
        <v>24</v>
      </c>
      <c r="Z4" s="1">
        <f t="shared" si="6"/>
        <v>30.15</v>
      </c>
      <c r="AB4">
        <v>2</v>
      </c>
      <c r="AC4" t="s">
        <v>49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L4" s="1">
        <v>0</v>
      </c>
      <c r="AM4" s="1">
        <v>0</v>
      </c>
      <c r="AN4" s="1">
        <v>0</v>
      </c>
      <c r="AO4" s="1">
        <v>1</v>
      </c>
      <c r="AP4" s="1">
        <v>1</v>
      </c>
      <c r="AQ4" s="1">
        <v>1</v>
      </c>
      <c r="AR4" s="1">
        <v>1</v>
      </c>
      <c r="AT4" s="1">
        <v>0</v>
      </c>
      <c r="AU4" s="1">
        <v>0</v>
      </c>
      <c r="AV4" s="1">
        <v>0</v>
      </c>
      <c r="AW4" s="1">
        <v>1</v>
      </c>
      <c r="AX4" s="1">
        <v>1</v>
      </c>
      <c r="AY4" s="1">
        <v>1</v>
      </c>
      <c r="BA4" s="1">
        <v>0</v>
      </c>
      <c r="BB4" s="1">
        <v>0</v>
      </c>
      <c r="BC4" s="1">
        <v>1</v>
      </c>
      <c r="BD4" s="1">
        <v>1</v>
      </c>
      <c r="BE4" s="1">
        <v>1</v>
      </c>
      <c r="BG4" s="1">
        <v>0</v>
      </c>
      <c r="BH4" s="1">
        <v>0</v>
      </c>
      <c r="BI4" s="1">
        <v>1</v>
      </c>
      <c r="BK4" s="1">
        <v>0</v>
      </c>
      <c r="BL4" s="1">
        <v>0</v>
      </c>
      <c r="BM4" s="1">
        <v>1</v>
      </c>
      <c r="BO4" s="1">
        <v>0</v>
      </c>
      <c r="BP4" s="1">
        <v>0</v>
      </c>
      <c r="BR4" s="1">
        <v>0</v>
      </c>
      <c r="BS4" s="21"/>
    </row>
    <row r="5" spans="1:71" x14ac:dyDescent="0.3">
      <c r="A5" s="1" t="s">
        <v>30</v>
      </c>
      <c r="B5" s="1">
        <v>1.1300000000000092</v>
      </c>
      <c r="C5" s="1">
        <v>1.1000000000000001</v>
      </c>
      <c r="D5" s="1">
        <v>1.34</v>
      </c>
      <c r="E5" s="1">
        <v>0.12</v>
      </c>
      <c r="F5" s="1">
        <v>0.77</v>
      </c>
      <c r="G5" s="1">
        <v>0.12</v>
      </c>
      <c r="H5" s="1">
        <v>2</v>
      </c>
      <c r="I5" s="1">
        <v>0</v>
      </c>
      <c r="J5" s="1">
        <v>2.2000000000000002</v>
      </c>
      <c r="K5" s="1">
        <v>1.34</v>
      </c>
      <c r="L5" s="1">
        <v>0.12</v>
      </c>
      <c r="M5" s="1">
        <v>0.77</v>
      </c>
      <c r="N5" s="1">
        <v>0.12</v>
      </c>
      <c r="O5" s="1">
        <v>2</v>
      </c>
      <c r="P5" s="1">
        <v>2.25</v>
      </c>
      <c r="Q5" t="s">
        <v>45</v>
      </c>
      <c r="R5" s="1">
        <f t="shared" si="0"/>
        <v>7.5899999999999981</v>
      </c>
      <c r="S5" s="1">
        <f t="shared" si="0"/>
        <v>10.620000000000026</v>
      </c>
      <c r="T5" s="1">
        <f t="shared" si="2"/>
        <v>14.160000000000021</v>
      </c>
      <c r="U5" s="1">
        <f t="shared" si="3"/>
        <v>16.630000000000027</v>
      </c>
      <c r="V5" s="1">
        <f t="shared" si="1"/>
        <v>21.8</v>
      </c>
      <c r="W5" s="1">
        <f t="shared" si="1"/>
        <v>21.8</v>
      </c>
      <c r="X5" s="1">
        <f t="shared" si="4"/>
        <v>26.370000000000065</v>
      </c>
      <c r="Y5" s="1">
        <f t="shared" si="5"/>
        <v>28.690000000000072</v>
      </c>
      <c r="Z5" s="1">
        <f t="shared" si="6"/>
        <v>32.520000000000081</v>
      </c>
      <c r="AB5">
        <v>3</v>
      </c>
      <c r="AC5" t="s">
        <v>50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/>
      <c r="AL5" s="1">
        <v>0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/>
      <c r="AT5" s="1">
        <v>0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/>
      <c r="BA5" s="1">
        <v>0</v>
      </c>
      <c r="BB5" s="1">
        <v>1</v>
      </c>
      <c r="BC5" s="1">
        <v>1</v>
      </c>
      <c r="BD5" s="1">
        <v>1</v>
      </c>
      <c r="BE5" s="1">
        <v>1</v>
      </c>
      <c r="BF5" s="1"/>
      <c r="BG5" s="1">
        <v>1</v>
      </c>
      <c r="BH5" s="1">
        <v>1</v>
      </c>
      <c r="BI5" s="1">
        <v>1</v>
      </c>
      <c r="BJ5" s="1"/>
      <c r="BK5" s="1">
        <v>0</v>
      </c>
      <c r="BL5" s="1">
        <v>1</v>
      </c>
      <c r="BM5" s="1">
        <v>1</v>
      </c>
      <c r="BN5" s="1"/>
      <c r="BO5" s="1">
        <v>0</v>
      </c>
      <c r="BP5" s="1">
        <v>1</v>
      </c>
      <c r="BQ5" s="1"/>
      <c r="BR5" s="1">
        <v>1</v>
      </c>
    </row>
    <row r="6" spans="1:71" x14ac:dyDescent="0.3">
      <c r="A6" s="1" t="s">
        <v>27</v>
      </c>
      <c r="B6" s="1">
        <v>0</v>
      </c>
      <c r="C6" s="1">
        <v>2.23</v>
      </c>
      <c r="D6" s="1">
        <v>1.34</v>
      </c>
      <c r="E6" s="1">
        <v>0.12</v>
      </c>
      <c r="F6" s="1">
        <v>0.77</v>
      </c>
      <c r="G6" s="1">
        <v>0.12</v>
      </c>
      <c r="H6" s="1">
        <v>2</v>
      </c>
      <c r="I6" s="1">
        <v>0</v>
      </c>
      <c r="J6" s="1">
        <v>2.2000000000000002</v>
      </c>
      <c r="K6" s="1">
        <v>1.34</v>
      </c>
      <c r="L6" s="1">
        <v>0.12</v>
      </c>
      <c r="M6" s="1">
        <v>0.77</v>
      </c>
      <c r="N6" s="1">
        <v>0.12</v>
      </c>
      <c r="O6" s="1">
        <v>2</v>
      </c>
      <c r="P6" s="1">
        <v>2.25</v>
      </c>
      <c r="Q6" s="3" t="s">
        <v>64</v>
      </c>
      <c r="R6" s="6">
        <f t="shared" ref="R6" si="7">B20</f>
        <v>11.840000000000018</v>
      </c>
      <c r="S6" s="6">
        <f t="shared" ref="S6" si="8">C20</f>
        <v>14.4</v>
      </c>
      <c r="T6" s="6">
        <f t="shared" ref="T6" si="9">E20</f>
        <v>17.970000000000031</v>
      </c>
      <c r="U6" s="6">
        <f t="shared" ref="U6" si="10">G20</f>
        <v>19.310000000000048</v>
      </c>
      <c r="V6" s="6">
        <f t="shared" ref="V6" si="11">I20</f>
        <v>24.120000000000065</v>
      </c>
      <c r="W6" s="6">
        <f t="shared" ref="W6" si="12">J20</f>
        <v>26.490000000000069</v>
      </c>
      <c r="X6" s="6">
        <f t="shared" ref="X6" si="13">L20</f>
        <v>30.030000000000069</v>
      </c>
      <c r="Y6" s="6">
        <f t="shared" ref="Y6" si="14">N20</f>
        <v>32.4</v>
      </c>
      <c r="Z6" s="6">
        <f t="shared" ref="Z6" si="15">P20</f>
        <v>34.770000000000081</v>
      </c>
      <c r="AB6">
        <v>4</v>
      </c>
      <c r="AC6" t="s">
        <v>47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/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/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/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/>
      <c r="BG6" s="1">
        <v>0</v>
      </c>
      <c r="BH6" s="1">
        <v>0</v>
      </c>
      <c r="BI6" s="1">
        <v>0</v>
      </c>
      <c r="BJ6" s="1"/>
      <c r="BK6" s="1">
        <v>1</v>
      </c>
      <c r="BL6" s="1">
        <v>0</v>
      </c>
      <c r="BM6" s="1">
        <v>0</v>
      </c>
      <c r="BN6" s="1"/>
      <c r="BO6" s="1">
        <v>1</v>
      </c>
      <c r="BP6" s="1">
        <v>0</v>
      </c>
      <c r="BQ6" s="1"/>
      <c r="BR6" s="1">
        <v>0</v>
      </c>
    </row>
    <row r="7" spans="1:71" x14ac:dyDescent="0.3">
      <c r="AB7">
        <v>5</v>
      </c>
      <c r="AC7" t="s">
        <v>51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>
        <v>0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T7" s="1">
        <v>1</v>
      </c>
      <c r="AU7" s="1">
        <v>1</v>
      </c>
      <c r="AV7" s="1">
        <v>1</v>
      </c>
      <c r="AW7" s="1">
        <v>0</v>
      </c>
      <c r="AX7" s="1">
        <v>0</v>
      </c>
      <c r="AY7" s="1">
        <v>0</v>
      </c>
      <c r="BA7" s="1">
        <v>1</v>
      </c>
      <c r="BB7" s="1">
        <v>1</v>
      </c>
      <c r="BC7" s="1">
        <v>0</v>
      </c>
      <c r="BD7" s="1">
        <v>0</v>
      </c>
      <c r="BE7" s="1">
        <v>0</v>
      </c>
      <c r="BG7" s="1">
        <v>1</v>
      </c>
      <c r="BH7" s="1">
        <v>1</v>
      </c>
      <c r="BI7" s="1">
        <v>0</v>
      </c>
      <c r="BK7" s="1">
        <v>1</v>
      </c>
      <c r="BL7" s="1">
        <v>1</v>
      </c>
      <c r="BM7" s="1">
        <v>0</v>
      </c>
      <c r="BO7" s="1">
        <v>1</v>
      </c>
      <c r="BP7" s="1">
        <v>1</v>
      </c>
      <c r="BR7" s="1">
        <v>1</v>
      </c>
    </row>
    <row r="8" spans="1:71" x14ac:dyDescent="0.3">
      <c r="A8" t="s">
        <v>19</v>
      </c>
      <c r="B8" s="9">
        <f>SUM(B2:C2)</f>
        <v>2.23</v>
      </c>
      <c r="C8" s="9"/>
      <c r="D8">
        <f>2.2</f>
        <v>2.2000000000000002</v>
      </c>
      <c r="E8">
        <v>2.25</v>
      </c>
      <c r="I8" s="9">
        <f>SUM(I2:J2)</f>
        <v>2.2000000000000002</v>
      </c>
      <c r="J8" s="9"/>
      <c r="AB8">
        <v>6</v>
      </c>
      <c r="AC8" t="s">
        <v>52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G8" s="1">
        <v>0</v>
      </c>
      <c r="BH8" s="1">
        <v>0</v>
      </c>
      <c r="BI8" s="1">
        <v>0</v>
      </c>
      <c r="BK8" s="1">
        <v>1</v>
      </c>
      <c r="BL8" s="1">
        <v>0</v>
      </c>
      <c r="BM8" s="1">
        <v>0</v>
      </c>
      <c r="BO8" s="1">
        <v>1</v>
      </c>
      <c r="BP8" s="1">
        <v>0</v>
      </c>
      <c r="BR8" s="1">
        <v>0</v>
      </c>
    </row>
    <row r="9" spans="1:71" x14ac:dyDescent="0.3">
      <c r="A9" t="s">
        <v>20</v>
      </c>
      <c r="B9" s="10">
        <f>SUM(B3:C3)</f>
        <v>2.23</v>
      </c>
      <c r="C9" s="10"/>
      <c r="D9">
        <f t="shared" ref="D9:D11" si="16">2.2</f>
        <v>2.2000000000000002</v>
      </c>
      <c r="E9">
        <v>2.25</v>
      </c>
      <c r="I9" s="9">
        <f t="shared" ref="I9:I12" si="17">SUM(I3:J3)</f>
        <v>2.2000000000000002</v>
      </c>
      <c r="J9" s="10"/>
      <c r="AA9" t="s">
        <v>54</v>
      </c>
      <c r="AB9">
        <v>7</v>
      </c>
      <c r="AC9" t="s">
        <v>55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1</v>
      </c>
      <c r="AJ9" s="1">
        <v>1</v>
      </c>
      <c r="AL9" s="1">
        <v>0</v>
      </c>
      <c r="AM9">
        <v>0</v>
      </c>
      <c r="AN9" s="1">
        <v>0</v>
      </c>
      <c r="AO9" s="1">
        <v>0</v>
      </c>
      <c r="AP9" s="1">
        <v>1</v>
      </c>
      <c r="AQ9" s="1">
        <v>1</v>
      </c>
      <c r="AR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G9" s="1">
        <v>0</v>
      </c>
      <c r="BH9" s="1">
        <v>0</v>
      </c>
      <c r="BI9" s="1">
        <v>0</v>
      </c>
      <c r="BK9" s="1">
        <v>0</v>
      </c>
      <c r="BL9" s="1">
        <v>0</v>
      </c>
      <c r="BM9" s="1">
        <v>0</v>
      </c>
      <c r="BO9" s="1">
        <v>0</v>
      </c>
      <c r="BP9" s="1">
        <v>0</v>
      </c>
      <c r="BR9" s="1">
        <v>0</v>
      </c>
    </row>
    <row r="10" spans="1:71" x14ac:dyDescent="0.3">
      <c r="A10" t="s">
        <v>28</v>
      </c>
      <c r="B10" s="9">
        <f>SUM(B4:C4)</f>
        <v>2.2299999999999942</v>
      </c>
      <c r="C10" s="2"/>
      <c r="D10">
        <f t="shared" si="16"/>
        <v>2.2000000000000002</v>
      </c>
      <c r="E10">
        <v>2.25</v>
      </c>
      <c r="I10" s="9">
        <f t="shared" si="17"/>
        <v>2.2000000000000002</v>
      </c>
      <c r="J10" s="2"/>
      <c r="AB10">
        <v>8</v>
      </c>
      <c r="AC10" t="s">
        <v>56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L10" s="1">
        <v>0</v>
      </c>
      <c r="AM10" s="1">
        <v>0</v>
      </c>
      <c r="AN10" s="1">
        <v>0</v>
      </c>
      <c r="AO10" s="1">
        <v>1</v>
      </c>
      <c r="AP10" s="1">
        <v>1</v>
      </c>
      <c r="AQ10" s="1">
        <v>1</v>
      </c>
      <c r="AR10" s="1">
        <v>1</v>
      </c>
      <c r="AT10" s="1">
        <v>0</v>
      </c>
      <c r="AU10" s="1">
        <v>0</v>
      </c>
      <c r="AV10" s="1">
        <v>0</v>
      </c>
      <c r="AW10" s="1">
        <v>1</v>
      </c>
      <c r="AX10" s="1">
        <v>1</v>
      </c>
      <c r="AY10" s="1">
        <v>1</v>
      </c>
      <c r="BA10" s="1">
        <v>0</v>
      </c>
      <c r="BB10" s="1">
        <v>0</v>
      </c>
      <c r="BC10" s="1">
        <v>1</v>
      </c>
      <c r="BD10" s="1">
        <v>1</v>
      </c>
      <c r="BE10" s="1">
        <v>1</v>
      </c>
      <c r="BG10" s="1">
        <v>0</v>
      </c>
      <c r="BH10" s="1">
        <v>0</v>
      </c>
      <c r="BI10" s="1">
        <v>1</v>
      </c>
      <c r="BK10" s="1">
        <v>0</v>
      </c>
      <c r="BL10" s="1">
        <v>0</v>
      </c>
      <c r="BM10" s="1">
        <v>1</v>
      </c>
      <c r="BO10" s="1">
        <v>0</v>
      </c>
      <c r="BP10" s="1">
        <v>0</v>
      </c>
      <c r="BR10" s="1">
        <v>0</v>
      </c>
    </row>
    <row r="11" spans="1:71" x14ac:dyDescent="0.3">
      <c r="A11" t="s">
        <v>30</v>
      </c>
      <c r="B11" s="9">
        <f>SUM(B5:C5)</f>
        <v>2.2300000000000093</v>
      </c>
      <c r="C11" s="2"/>
      <c r="D11">
        <f t="shared" si="16"/>
        <v>2.2000000000000002</v>
      </c>
      <c r="E11">
        <v>2.25</v>
      </c>
      <c r="I11" s="9">
        <f t="shared" si="17"/>
        <v>2.2000000000000002</v>
      </c>
      <c r="J11" s="2"/>
      <c r="AB11">
        <v>9</v>
      </c>
      <c r="AC11" t="s">
        <v>57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L11" s="1">
        <v>0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T11" s="1">
        <v>0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G11" s="1">
        <v>0</v>
      </c>
      <c r="BH11" s="1">
        <v>1</v>
      </c>
      <c r="BI11" s="1">
        <v>1</v>
      </c>
      <c r="BK11" s="1">
        <v>0</v>
      </c>
      <c r="BL11" s="1">
        <v>1</v>
      </c>
      <c r="BM11" s="1">
        <v>1</v>
      </c>
      <c r="BO11" s="1">
        <v>0</v>
      </c>
      <c r="BP11" s="1">
        <v>1</v>
      </c>
      <c r="BR11" s="1">
        <v>1</v>
      </c>
    </row>
    <row r="12" spans="1:71" x14ac:dyDescent="0.3">
      <c r="A12" t="s">
        <v>27</v>
      </c>
      <c r="B12" s="9">
        <f>SUM(B6:C6)</f>
        <v>2.23</v>
      </c>
      <c r="C12" s="2"/>
      <c r="I12" s="9">
        <f t="shared" si="17"/>
        <v>2.2000000000000002</v>
      </c>
      <c r="J12" s="2"/>
      <c r="AB12">
        <v>10</v>
      </c>
      <c r="AC12" t="s">
        <v>58</v>
      </c>
      <c r="AD12" s="1">
        <v>1</v>
      </c>
      <c r="AE12" s="1">
        <v>1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L12" s="1">
        <v>1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T12" s="1">
        <v>1</v>
      </c>
      <c r="AU12" s="1">
        <v>1</v>
      </c>
      <c r="AV12" s="1">
        <v>1</v>
      </c>
      <c r="AW12" s="1">
        <v>1</v>
      </c>
      <c r="AX12" s="1">
        <v>0</v>
      </c>
      <c r="AY12" s="1">
        <v>0</v>
      </c>
      <c r="BA12" s="1">
        <v>1</v>
      </c>
      <c r="BB12" s="1">
        <v>1</v>
      </c>
      <c r="BC12" s="1">
        <v>1</v>
      </c>
      <c r="BD12" s="1">
        <v>1</v>
      </c>
      <c r="BE12" s="1">
        <v>0</v>
      </c>
      <c r="BG12" s="1">
        <v>1</v>
      </c>
      <c r="BH12" s="1">
        <v>1</v>
      </c>
      <c r="BI12" s="1">
        <v>1</v>
      </c>
      <c r="BK12" s="1">
        <v>1</v>
      </c>
      <c r="BL12" s="1">
        <v>1</v>
      </c>
      <c r="BM12" s="1">
        <v>1</v>
      </c>
      <c r="BO12" s="1">
        <v>1</v>
      </c>
      <c r="BP12" s="1">
        <v>1</v>
      </c>
      <c r="BR12" s="1">
        <v>1</v>
      </c>
    </row>
    <row r="13" spans="1:71" x14ac:dyDescent="0.3">
      <c r="B13" s="2"/>
      <c r="C13" s="2"/>
      <c r="I13" s="2"/>
      <c r="J13" s="2"/>
      <c r="AA13" t="s">
        <v>21</v>
      </c>
      <c r="AB13">
        <v>11</v>
      </c>
      <c r="AC13" t="s">
        <v>59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L13" s="1">
        <v>1</v>
      </c>
      <c r="AM13" s="1">
        <v>1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T13" s="1">
        <v>1</v>
      </c>
      <c r="AU13" s="1">
        <v>1</v>
      </c>
      <c r="AV13" s="1">
        <v>1</v>
      </c>
      <c r="AW13" s="1">
        <v>0</v>
      </c>
      <c r="AX13" s="1">
        <v>0</v>
      </c>
      <c r="AY13" s="1">
        <v>0</v>
      </c>
      <c r="BA13" s="1">
        <v>1</v>
      </c>
      <c r="BB13" s="1">
        <v>1</v>
      </c>
      <c r="BC13" s="1">
        <v>0</v>
      </c>
      <c r="BD13" s="1">
        <v>0</v>
      </c>
      <c r="BE13" s="1">
        <v>0</v>
      </c>
      <c r="BG13" s="1">
        <v>1</v>
      </c>
      <c r="BH13" s="1">
        <v>1</v>
      </c>
      <c r="BI13" s="1">
        <v>0</v>
      </c>
      <c r="BK13" s="1">
        <v>1</v>
      </c>
      <c r="BL13" s="1">
        <v>1</v>
      </c>
      <c r="BM13" s="1">
        <v>0</v>
      </c>
      <c r="BO13" s="1">
        <v>1</v>
      </c>
      <c r="BP13" s="1">
        <v>1</v>
      </c>
      <c r="BR13" s="1">
        <v>1</v>
      </c>
    </row>
    <row r="14" spans="1:71" x14ac:dyDescent="0.3">
      <c r="A14" t="s">
        <v>22</v>
      </c>
      <c r="AB14">
        <v>12</v>
      </c>
      <c r="AC14" t="s">
        <v>60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T14" s="1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G14" s="1">
        <v>1</v>
      </c>
      <c r="BH14" s="1">
        <v>0</v>
      </c>
      <c r="BI14" s="1">
        <v>0</v>
      </c>
      <c r="BK14" s="1">
        <v>1</v>
      </c>
      <c r="BL14" s="1">
        <v>0</v>
      </c>
      <c r="BM14" s="1">
        <v>0</v>
      </c>
      <c r="BO14" s="1">
        <v>1</v>
      </c>
      <c r="BP14" s="1">
        <v>0</v>
      </c>
      <c r="BR14" s="1">
        <v>0</v>
      </c>
    </row>
    <row r="15" spans="1:71" x14ac:dyDescent="0.3">
      <c r="B15" s="3" t="s">
        <v>1</v>
      </c>
      <c r="C15" s="3" t="s">
        <v>2</v>
      </c>
      <c r="D15" t="s">
        <v>3</v>
      </c>
      <c r="E15" s="3" t="s">
        <v>4</v>
      </c>
      <c r="F15" t="s">
        <v>5</v>
      </c>
      <c r="G15" s="3" t="s">
        <v>6</v>
      </c>
      <c r="H15" t="s">
        <v>7</v>
      </c>
      <c r="I15" s="3" t="s">
        <v>8</v>
      </c>
      <c r="J15" s="3" t="s">
        <v>9</v>
      </c>
      <c r="K15" t="s">
        <v>10</v>
      </c>
      <c r="L15" s="3" t="s">
        <v>11</v>
      </c>
      <c r="M15" t="s">
        <v>12</v>
      </c>
      <c r="N15" s="3" t="s">
        <v>13</v>
      </c>
      <c r="O15" t="s">
        <v>14</v>
      </c>
      <c r="P15" s="3" t="s">
        <v>15</v>
      </c>
      <c r="R15" s="3" t="s">
        <v>1</v>
      </c>
      <c r="S15" s="3" t="s">
        <v>2</v>
      </c>
      <c r="T15" s="3" t="s">
        <v>4</v>
      </c>
      <c r="U15" s="3" t="s">
        <v>6</v>
      </c>
      <c r="V15" s="3" t="s">
        <v>8</v>
      </c>
      <c r="W15" s="3" t="s">
        <v>9</v>
      </c>
      <c r="X15" s="3" t="s">
        <v>11</v>
      </c>
      <c r="Y15" s="3" t="s">
        <v>13</v>
      </c>
      <c r="Z15" s="3" t="s">
        <v>15</v>
      </c>
      <c r="AB15">
        <v>13</v>
      </c>
      <c r="AC15" t="s">
        <v>65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1</v>
      </c>
      <c r="AJ15" s="1">
        <v>1</v>
      </c>
      <c r="AK15" s="1"/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/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/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/>
      <c r="BG15" s="1">
        <v>0</v>
      </c>
      <c r="BH15" s="1">
        <v>0</v>
      </c>
      <c r="BI15" s="1">
        <v>0</v>
      </c>
      <c r="BJ15" s="1"/>
      <c r="BK15" s="1">
        <v>0</v>
      </c>
      <c r="BL15" s="1">
        <v>0</v>
      </c>
      <c r="BM15" s="1">
        <v>0</v>
      </c>
      <c r="BN15" s="1"/>
      <c r="BO15" s="1">
        <v>0</v>
      </c>
      <c r="BP15" s="1">
        <v>0</v>
      </c>
      <c r="BQ15" s="1"/>
      <c r="BR15" s="1">
        <v>0</v>
      </c>
    </row>
    <row r="16" spans="1:71" x14ac:dyDescent="0.3">
      <c r="A16" s="1" t="s">
        <v>16</v>
      </c>
      <c r="B16" s="1">
        <v>0</v>
      </c>
      <c r="C16" s="1">
        <v>0</v>
      </c>
      <c r="D16" s="1">
        <v>2.23</v>
      </c>
      <c r="E16" s="1">
        <v>3.5699999999958436</v>
      </c>
      <c r="F16" s="1">
        <v>3.6899999999958437</v>
      </c>
      <c r="G16" s="1">
        <v>4.5799999999999983</v>
      </c>
      <c r="H16" s="1">
        <v>4.7</v>
      </c>
      <c r="I16" s="1">
        <v>6.7</v>
      </c>
      <c r="J16" s="1">
        <v>8.7200000000000042</v>
      </c>
      <c r="K16" s="1">
        <v>10.5</v>
      </c>
      <c r="L16" s="1">
        <v>11.840000000000018</v>
      </c>
      <c r="M16" s="1">
        <v>11.960000000000017</v>
      </c>
      <c r="N16" s="17">
        <v>14.280000000000026</v>
      </c>
      <c r="O16" s="1">
        <v>14.4</v>
      </c>
      <c r="P16" s="1">
        <v>19.430000000000053</v>
      </c>
      <c r="Q16" s="7" t="s">
        <v>31</v>
      </c>
      <c r="R16" s="1">
        <f t="shared" ref="R16:S19" si="18">B30</f>
        <v>0</v>
      </c>
      <c r="S16" s="1">
        <f t="shared" si="18"/>
        <v>2.23</v>
      </c>
      <c r="T16" s="1">
        <f>E30</f>
        <v>3.6899999999958437</v>
      </c>
      <c r="U16" s="1">
        <f>G30</f>
        <v>4.6999999999999984</v>
      </c>
      <c r="V16" s="1">
        <f t="shared" ref="V16:W19" si="19">I30</f>
        <v>7.1199999999999859</v>
      </c>
      <c r="W16" s="1">
        <f t="shared" si="19"/>
        <v>10.500000000000018</v>
      </c>
      <c r="X16" s="1">
        <f>L30</f>
        <v>11.960000000000017</v>
      </c>
      <c r="Y16" s="1">
        <f>N30</f>
        <v>14.400000000000025</v>
      </c>
      <c r="Z16" s="1">
        <f>P30</f>
        <v>21.680000000000053</v>
      </c>
      <c r="AB16">
        <v>14</v>
      </c>
      <c r="AC16" t="s">
        <v>66</v>
      </c>
      <c r="AD16" s="13">
        <v>0</v>
      </c>
      <c r="AE16" s="13">
        <v>0</v>
      </c>
      <c r="AF16" s="13">
        <v>0</v>
      </c>
      <c r="AG16" s="13">
        <v>1</v>
      </c>
      <c r="AH16" s="13">
        <v>1</v>
      </c>
      <c r="AI16" s="13">
        <v>1</v>
      </c>
      <c r="AJ16" s="13">
        <v>1</v>
      </c>
      <c r="AK16" s="2"/>
      <c r="AL16" s="13">
        <v>0</v>
      </c>
      <c r="AM16" s="13">
        <v>0</v>
      </c>
      <c r="AN16" s="13">
        <v>0</v>
      </c>
      <c r="AO16" s="13">
        <v>0</v>
      </c>
      <c r="AP16" s="13">
        <v>1</v>
      </c>
      <c r="AQ16" s="13">
        <v>1</v>
      </c>
      <c r="AR16" s="13">
        <v>1</v>
      </c>
      <c r="AS16" s="2"/>
      <c r="AT16" s="13">
        <v>0</v>
      </c>
      <c r="AU16" s="13">
        <v>0</v>
      </c>
      <c r="AV16" s="13">
        <v>0</v>
      </c>
      <c r="AW16" s="13">
        <v>0</v>
      </c>
      <c r="AX16" s="13">
        <v>1</v>
      </c>
      <c r="AY16" s="13">
        <v>1</v>
      </c>
      <c r="AZ16" s="2"/>
      <c r="BA16" s="13">
        <v>0</v>
      </c>
      <c r="BB16" s="13">
        <v>0</v>
      </c>
      <c r="BC16" s="13">
        <v>0</v>
      </c>
      <c r="BD16" s="13">
        <v>0</v>
      </c>
      <c r="BE16" s="13">
        <v>1</v>
      </c>
      <c r="BF16" s="2"/>
      <c r="BG16" s="13">
        <v>0</v>
      </c>
      <c r="BH16" s="13">
        <v>0</v>
      </c>
      <c r="BI16" s="13">
        <v>1</v>
      </c>
      <c r="BJ16" s="2"/>
      <c r="BK16" s="13">
        <v>0</v>
      </c>
      <c r="BL16" s="13">
        <v>0</v>
      </c>
      <c r="BM16" s="13">
        <v>0</v>
      </c>
      <c r="BN16" s="2"/>
      <c r="BO16" s="13">
        <v>0</v>
      </c>
      <c r="BP16" s="13">
        <v>0</v>
      </c>
      <c r="BQ16" s="2"/>
      <c r="BR16" s="13">
        <v>0</v>
      </c>
    </row>
    <row r="17" spans="1:70" x14ac:dyDescent="0.3">
      <c r="A17" s="1" t="s">
        <v>18</v>
      </c>
      <c r="B17" s="1">
        <v>2.23</v>
      </c>
      <c r="C17" s="1">
        <v>3.6899999999958482</v>
      </c>
      <c r="D17" s="1">
        <v>4.5799999999999983</v>
      </c>
      <c r="E17" s="1">
        <v>6.5799999999999939</v>
      </c>
      <c r="F17" s="1">
        <v>6.7</v>
      </c>
      <c r="G17" s="1">
        <v>7.4699999999999935</v>
      </c>
      <c r="H17" s="1">
        <v>7.5899999999999936</v>
      </c>
      <c r="I17" s="1">
        <v>10.620000000000022</v>
      </c>
      <c r="J17" s="1">
        <v>11.960000000000022</v>
      </c>
      <c r="K17" s="1">
        <v>14.160000000000021</v>
      </c>
      <c r="L17" s="1">
        <v>17.850000000000001</v>
      </c>
      <c r="M17" s="1">
        <v>17.970000000000027</v>
      </c>
      <c r="N17" s="1">
        <v>19.190000000000044</v>
      </c>
      <c r="O17" s="1">
        <v>19.310000000000045</v>
      </c>
      <c r="P17" s="1">
        <v>24.120000000000065</v>
      </c>
      <c r="Q17" s="7" t="s">
        <v>32</v>
      </c>
      <c r="R17" s="1">
        <f t="shared" si="18"/>
        <v>3.5699999999958498</v>
      </c>
      <c r="S17" s="1">
        <f t="shared" si="18"/>
        <v>4.5799999999999983</v>
      </c>
      <c r="T17" s="1">
        <f t="shared" ref="T17:T19" si="20">E31</f>
        <v>6.699999999999994</v>
      </c>
      <c r="U17" s="1">
        <f t="shared" ref="U17:U19" si="21">G31</f>
        <v>7.5899999999999936</v>
      </c>
      <c r="V17" s="1">
        <f t="shared" si="19"/>
        <v>10.620000000000022</v>
      </c>
      <c r="W17" s="1">
        <f t="shared" si="19"/>
        <v>14.160000000000021</v>
      </c>
      <c r="X17" s="1">
        <f t="shared" ref="X17:X19" si="22">L31</f>
        <v>17.970000000000002</v>
      </c>
      <c r="Y17" s="1">
        <f t="shared" ref="Y17:Y19" si="23">N31</f>
        <v>19.310000000000045</v>
      </c>
      <c r="Z17" s="1">
        <f t="shared" ref="Z17:Z19" si="24">P31</f>
        <v>26.370000000000065</v>
      </c>
      <c r="AA17" s="4">
        <f>SUM(D2:H5,K2:P5,D8:E11)</f>
        <v>61.600000000000009</v>
      </c>
      <c r="AB17">
        <v>15</v>
      </c>
      <c r="AC17" t="s">
        <v>67</v>
      </c>
      <c r="AD17" s="31">
        <v>0</v>
      </c>
      <c r="AE17" s="31">
        <v>0</v>
      </c>
      <c r="AF17" s="31">
        <v>1</v>
      </c>
      <c r="AG17" s="31">
        <v>1</v>
      </c>
      <c r="AH17" s="31">
        <v>1</v>
      </c>
      <c r="AI17" s="31">
        <v>1</v>
      </c>
      <c r="AJ17" s="31">
        <v>1</v>
      </c>
      <c r="AK17" s="31"/>
      <c r="AL17" s="31">
        <v>0</v>
      </c>
      <c r="AM17" s="31">
        <v>0</v>
      </c>
      <c r="AN17" s="31">
        <v>1</v>
      </c>
      <c r="AO17" s="31">
        <v>1</v>
      </c>
      <c r="AP17" s="31">
        <v>1</v>
      </c>
      <c r="AQ17" s="31">
        <v>1</v>
      </c>
      <c r="AR17" s="31">
        <v>1</v>
      </c>
      <c r="AS17" s="31"/>
      <c r="AT17" s="31">
        <v>0</v>
      </c>
      <c r="AU17" s="31">
        <v>0</v>
      </c>
      <c r="AV17" s="31">
        <v>1</v>
      </c>
      <c r="AW17" s="31">
        <v>1</v>
      </c>
      <c r="AX17" s="31">
        <v>1</v>
      </c>
      <c r="AY17" s="31">
        <v>1</v>
      </c>
      <c r="AZ17" s="31"/>
      <c r="BA17" s="31">
        <v>0</v>
      </c>
      <c r="BB17" s="31">
        <v>0</v>
      </c>
      <c r="BC17" s="31">
        <v>1</v>
      </c>
      <c r="BD17" s="31">
        <v>1</v>
      </c>
      <c r="BE17" s="31">
        <v>1</v>
      </c>
      <c r="BF17" s="31"/>
      <c r="BG17" s="31">
        <v>0</v>
      </c>
      <c r="BH17" s="31">
        <v>0</v>
      </c>
      <c r="BI17" s="31">
        <v>1</v>
      </c>
      <c r="BJ17" s="31"/>
      <c r="BK17" s="31">
        <v>0</v>
      </c>
      <c r="BL17" s="31">
        <v>0</v>
      </c>
      <c r="BM17" s="31">
        <v>1</v>
      </c>
      <c r="BN17" s="31"/>
      <c r="BO17" s="31">
        <v>0</v>
      </c>
      <c r="BP17" s="31">
        <v>1</v>
      </c>
      <c r="BQ17" s="31"/>
      <c r="BR17" s="31">
        <v>0</v>
      </c>
    </row>
    <row r="18" spans="1:70" x14ac:dyDescent="0.3">
      <c r="A18" s="1" t="s">
        <v>28</v>
      </c>
      <c r="B18" s="1">
        <v>4.7</v>
      </c>
      <c r="C18" s="1">
        <v>7.1199999999999877</v>
      </c>
      <c r="D18" s="1">
        <v>7.4699999999999935</v>
      </c>
      <c r="E18" s="1">
        <v>10.5</v>
      </c>
      <c r="F18" s="1">
        <v>10.620000000000017</v>
      </c>
      <c r="G18" s="1">
        <v>11.720000000000013</v>
      </c>
      <c r="H18" s="1">
        <v>11.840000000000012</v>
      </c>
      <c r="I18" s="1">
        <v>16.75</v>
      </c>
      <c r="J18" s="1">
        <v>18.090000000000035</v>
      </c>
      <c r="K18" s="1">
        <v>19.190000000000044</v>
      </c>
      <c r="L18" s="1">
        <v>21.680000000000053</v>
      </c>
      <c r="M18" s="1">
        <v>21.8</v>
      </c>
      <c r="N18" s="1">
        <v>24</v>
      </c>
      <c r="O18" s="1">
        <v>24.120000000000061</v>
      </c>
      <c r="P18" s="1">
        <v>30.15</v>
      </c>
      <c r="Q18" t="s">
        <v>33</v>
      </c>
      <c r="R18" s="1">
        <f t="shared" si="18"/>
        <v>6.5799999999999947</v>
      </c>
      <c r="S18" s="1">
        <f t="shared" si="18"/>
        <v>7.4699999999999873</v>
      </c>
      <c r="T18" s="1">
        <f t="shared" si="20"/>
        <v>10.62</v>
      </c>
      <c r="U18" s="1">
        <f t="shared" si="21"/>
        <v>11.840000000000012</v>
      </c>
      <c r="V18" s="1">
        <f t="shared" si="19"/>
        <v>17.850000000000001</v>
      </c>
      <c r="W18" s="1">
        <f t="shared" si="19"/>
        <v>19.190000000000037</v>
      </c>
      <c r="X18" s="1">
        <f t="shared" si="22"/>
        <v>21.800000000000054</v>
      </c>
      <c r="Y18" s="1">
        <f t="shared" si="23"/>
        <v>24.12</v>
      </c>
      <c r="Z18" s="1">
        <f t="shared" si="24"/>
        <v>32.4</v>
      </c>
      <c r="AB18">
        <v>16</v>
      </c>
      <c r="AC18" t="s">
        <v>68</v>
      </c>
      <c r="AD18" s="24">
        <v>1</v>
      </c>
      <c r="AE18" s="24">
        <v>1</v>
      </c>
      <c r="AF18" s="24">
        <v>1</v>
      </c>
      <c r="AG18" s="24">
        <v>1</v>
      </c>
      <c r="AH18" s="24">
        <v>1</v>
      </c>
      <c r="AI18" s="24">
        <v>1</v>
      </c>
      <c r="AJ18" s="24">
        <v>1</v>
      </c>
      <c r="AK18" s="24"/>
      <c r="AL18" s="24">
        <v>0</v>
      </c>
      <c r="AM18" s="24">
        <v>1</v>
      </c>
      <c r="AN18" s="24">
        <v>1</v>
      </c>
      <c r="AO18" s="24">
        <v>1</v>
      </c>
      <c r="AP18" s="24">
        <v>1</v>
      </c>
      <c r="AQ18" s="24">
        <v>1</v>
      </c>
      <c r="AR18" s="24">
        <v>1</v>
      </c>
      <c r="AS18" s="24"/>
      <c r="AT18" s="24">
        <v>0</v>
      </c>
      <c r="AU18" s="24">
        <v>1</v>
      </c>
      <c r="AV18" s="24">
        <v>1</v>
      </c>
      <c r="AW18" s="24">
        <v>1</v>
      </c>
      <c r="AX18" s="24">
        <v>1</v>
      </c>
      <c r="AY18" s="24">
        <v>1</v>
      </c>
      <c r="AZ18" s="24"/>
      <c r="BA18" s="24">
        <v>1</v>
      </c>
      <c r="BB18" s="24">
        <v>1</v>
      </c>
      <c r="BC18" s="24">
        <v>1</v>
      </c>
      <c r="BD18" s="24">
        <v>1</v>
      </c>
      <c r="BE18" s="24">
        <v>1</v>
      </c>
      <c r="BF18" s="24"/>
      <c r="BG18" s="24">
        <v>1</v>
      </c>
      <c r="BH18" s="24">
        <v>1</v>
      </c>
      <c r="BI18" s="24">
        <v>1</v>
      </c>
      <c r="BJ18" s="24"/>
      <c r="BK18" s="24">
        <v>0</v>
      </c>
      <c r="BL18" s="24">
        <v>1</v>
      </c>
      <c r="BM18" s="24">
        <v>1</v>
      </c>
      <c r="BN18" s="24"/>
      <c r="BO18" s="24">
        <v>0</v>
      </c>
      <c r="BP18" s="24">
        <v>1</v>
      </c>
      <c r="BQ18" s="24"/>
      <c r="BR18" s="24">
        <v>1</v>
      </c>
    </row>
    <row r="19" spans="1:70" x14ac:dyDescent="0.3">
      <c r="A19" s="1" t="s">
        <v>30</v>
      </c>
      <c r="B19" s="23">
        <v>7.5899999999999981</v>
      </c>
      <c r="C19" s="1">
        <v>10.620000000000026</v>
      </c>
      <c r="D19" s="1">
        <v>11.720000000000017</v>
      </c>
      <c r="E19" s="1">
        <v>14.160000000000021</v>
      </c>
      <c r="F19" s="1">
        <v>14.280000000000021</v>
      </c>
      <c r="G19" s="13">
        <v>16.630000000000027</v>
      </c>
      <c r="H19" s="1">
        <v>16.75</v>
      </c>
      <c r="I19" s="1">
        <v>21.8</v>
      </c>
      <c r="J19" s="1">
        <v>21.8</v>
      </c>
      <c r="K19" s="1">
        <v>24</v>
      </c>
      <c r="L19" s="1">
        <v>26.370000000000065</v>
      </c>
      <c r="M19" s="1">
        <v>26.490000000000066</v>
      </c>
      <c r="N19" s="1">
        <v>28.690000000000072</v>
      </c>
      <c r="O19" s="1">
        <v>28.810000000000073</v>
      </c>
      <c r="P19" s="1">
        <v>32.520000000000081</v>
      </c>
      <c r="Q19" t="s">
        <v>45</v>
      </c>
      <c r="R19" s="1">
        <f t="shared" si="18"/>
        <v>8.7200000000000077</v>
      </c>
      <c r="S19" s="1">
        <f t="shared" si="18"/>
        <v>11.720000000000026</v>
      </c>
      <c r="T19" s="13">
        <f t="shared" si="20"/>
        <v>14.280000000000021</v>
      </c>
      <c r="U19" s="13">
        <f t="shared" si="21"/>
        <v>16.750000000000028</v>
      </c>
      <c r="V19" s="13">
        <f t="shared" si="19"/>
        <v>21.8</v>
      </c>
      <c r="W19" s="13">
        <f t="shared" si="19"/>
        <v>24</v>
      </c>
      <c r="X19" s="13">
        <f t="shared" si="22"/>
        <v>26.490000000000066</v>
      </c>
      <c r="Y19" s="13">
        <f t="shared" si="23"/>
        <v>28.810000000000073</v>
      </c>
      <c r="Z19" s="13">
        <f t="shared" si="24"/>
        <v>34.770000000000081</v>
      </c>
      <c r="AB19">
        <v>17</v>
      </c>
      <c r="AC19" t="s">
        <v>70</v>
      </c>
      <c r="AD19" s="32">
        <v>1</v>
      </c>
      <c r="AE19" s="32">
        <v>1</v>
      </c>
      <c r="AF19" s="32">
        <v>1</v>
      </c>
      <c r="AG19" s="32">
        <v>1</v>
      </c>
      <c r="AH19" s="32">
        <v>0</v>
      </c>
      <c r="AI19" s="32">
        <v>0</v>
      </c>
      <c r="AJ19" s="32">
        <v>0</v>
      </c>
      <c r="AK19" s="32"/>
      <c r="AL19" s="32">
        <v>1</v>
      </c>
      <c r="AM19" s="32">
        <v>1</v>
      </c>
      <c r="AN19" s="32">
        <v>1</v>
      </c>
      <c r="AO19" s="32">
        <v>1</v>
      </c>
      <c r="AP19" s="32">
        <v>1</v>
      </c>
      <c r="AQ19" s="32">
        <v>1</v>
      </c>
      <c r="AR19" s="32">
        <v>0</v>
      </c>
      <c r="AS19" s="32"/>
      <c r="AT19" s="32">
        <v>1</v>
      </c>
      <c r="AU19" s="32">
        <v>1</v>
      </c>
      <c r="AV19" s="32">
        <v>1</v>
      </c>
      <c r="AW19" s="32">
        <v>1</v>
      </c>
      <c r="AX19" s="32">
        <v>1</v>
      </c>
      <c r="AY19" s="32">
        <v>0</v>
      </c>
      <c r="AZ19" s="32"/>
      <c r="BA19" s="32">
        <v>1</v>
      </c>
      <c r="BB19" s="32">
        <v>1</v>
      </c>
      <c r="BC19" s="32">
        <v>1</v>
      </c>
      <c r="BD19" s="32">
        <v>1</v>
      </c>
      <c r="BE19" s="32">
        <v>0</v>
      </c>
      <c r="BF19" s="32"/>
      <c r="BG19" s="32">
        <v>1</v>
      </c>
      <c r="BH19" s="32">
        <v>1</v>
      </c>
      <c r="BI19" s="32">
        <v>1</v>
      </c>
      <c r="BJ19" s="32"/>
      <c r="BK19" s="32">
        <v>1</v>
      </c>
      <c r="BL19" s="32">
        <v>1</v>
      </c>
      <c r="BM19" s="32">
        <v>1</v>
      </c>
      <c r="BN19" s="32"/>
      <c r="BO19" s="32">
        <v>1</v>
      </c>
      <c r="BP19" s="32">
        <v>1</v>
      </c>
      <c r="BQ19" s="32"/>
      <c r="BR19" s="32">
        <v>1</v>
      </c>
    </row>
    <row r="20" spans="1:70" x14ac:dyDescent="0.3">
      <c r="A20" s="1" t="s">
        <v>27</v>
      </c>
      <c r="B20" s="23">
        <v>11.840000000000018</v>
      </c>
      <c r="C20" s="1">
        <v>14.4</v>
      </c>
      <c r="D20" s="1">
        <v>16.630000000000031</v>
      </c>
      <c r="E20" s="1">
        <v>17.970000000000031</v>
      </c>
      <c r="F20" s="1">
        <v>18.090000000000032</v>
      </c>
      <c r="G20" s="13">
        <v>19.310000000000048</v>
      </c>
      <c r="H20" s="1">
        <v>19.430000000000049</v>
      </c>
      <c r="I20" s="1">
        <v>24.120000000000065</v>
      </c>
      <c r="J20" s="1">
        <v>26.490000000000069</v>
      </c>
      <c r="K20" s="1">
        <v>28.690000000000069</v>
      </c>
      <c r="L20" s="1">
        <v>30.030000000000069</v>
      </c>
      <c r="M20" s="1">
        <v>30.15</v>
      </c>
      <c r="N20" s="1">
        <v>32.4</v>
      </c>
      <c r="O20" s="1">
        <v>32.520000000000074</v>
      </c>
      <c r="P20" s="1">
        <v>34.770000000000081</v>
      </c>
      <c r="Q20" t="s">
        <v>64</v>
      </c>
      <c r="R20" s="1">
        <f t="shared" ref="R20" si="25">B34</f>
        <v>11.840000000000018</v>
      </c>
      <c r="S20" s="1">
        <f t="shared" ref="S20" si="26">C34</f>
        <v>16.63</v>
      </c>
      <c r="T20" s="1">
        <f t="shared" ref="T20" si="27">E34</f>
        <v>18.090000000000032</v>
      </c>
      <c r="U20" s="1">
        <f t="shared" ref="U20" si="28">G34</f>
        <v>19.430000000000049</v>
      </c>
      <c r="V20" s="1">
        <f t="shared" ref="V20" si="29">I34</f>
        <v>24.120000000000065</v>
      </c>
      <c r="W20" s="1">
        <f t="shared" ref="W20" si="30">J34</f>
        <v>28.690000000000069</v>
      </c>
      <c r="X20" s="1">
        <f t="shared" ref="X20" si="31">L34</f>
        <v>30.15000000000007</v>
      </c>
      <c r="Y20" s="1">
        <f t="shared" ref="Y20" si="32">N34</f>
        <v>32.519999999999996</v>
      </c>
      <c r="Z20" s="1">
        <f t="shared" ref="Z20" si="33">P34</f>
        <v>37.020000000000081</v>
      </c>
      <c r="AB20">
        <v>18</v>
      </c>
      <c r="AC20" t="s">
        <v>69</v>
      </c>
      <c r="AD20" s="33">
        <v>1</v>
      </c>
      <c r="AE20" s="33">
        <v>1</v>
      </c>
      <c r="AF20" s="33">
        <v>1</v>
      </c>
      <c r="AG20" s="33">
        <v>0</v>
      </c>
      <c r="AH20" s="33">
        <v>0</v>
      </c>
      <c r="AI20" s="33">
        <v>0</v>
      </c>
      <c r="AJ20" s="33">
        <v>0</v>
      </c>
      <c r="AK20" s="33"/>
      <c r="AL20" s="33">
        <v>1</v>
      </c>
      <c r="AM20" s="33">
        <v>1</v>
      </c>
      <c r="AN20" s="33">
        <v>1</v>
      </c>
      <c r="AO20" s="33">
        <v>1</v>
      </c>
      <c r="AP20" s="33">
        <v>0</v>
      </c>
      <c r="AQ20" s="33">
        <v>0</v>
      </c>
      <c r="AR20" s="33">
        <v>0</v>
      </c>
      <c r="AS20" s="33"/>
      <c r="AT20" s="33">
        <v>1</v>
      </c>
      <c r="AU20" s="33">
        <v>1</v>
      </c>
      <c r="AV20" s="33">
        <v>1</v>
      </c>
      <c r="AW20" s="33">
        <v>1</v>
      </c>
      <c r="AX20" s="33">
        <v>0</v>
      </c>
      <c r="AY20" s="33">
        <v>0</v>
      </c>
      <c r="AZ20" s="33"/>
      <c r="BA20" s="33">
        <v>1</v>
      </c>
      <c r="BB20" s="33">
        <v>1</v>
      </c>
      <c r="BC20" s="33">
        <v>1</v>
      </c>
      <c r="BD20" s="33">
        <v>1</v>
      </c>
      <c r="BE20" s="33">
        <v>0</v>
      </c>
      <c r="BF20" s="33"/>
      <c r="BG20" s="33">
        <v>1</v>
      </c>
      <c r="BH20" s="33">
        <v>1</v>
      </c>
      <c r="BI20" s="33">
        <v>0</v>
      </c>
      <c r="BJ20" s="33"/>
      <c r="BK20" s="33">
        <v>1</v>
      </c>
      <c r="BL20" s="33">
        <v>1</v>
      </c>
      <c r="BM20" s="33">
        <v>1</v>
      </c>
      <c r="BN20" s="33"/>
      <c r="BO20" s="33">
        <v>1</v>
      </c>
      <c r="BP20" s="33">
        <v>1</v>
      </c>
      <c r="BQ20" s="33"/>
      <c r="BR20" s="33">
        <v>1</v>
      </c>
    </row>
    <row r="21" spans="1:70" x14ac:dyDescent="0.3">
      <c r="B21" s="15"/>
      <c r="AB21">
        <v>19</v>
      </c>
      <c r="AC21" t="s">
        <v>71</v>
      </c>
      <c r="AD21" s="31">
        <v>1</v>
      </c>
      <c r="AE21" s="31">
        <v>1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/>
      <c r="AL21" s="31">
        <v>1</v>
      </c>
      <c r="AM21" s="31">
        <v>1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/>
      <c r="AT21" s="31">
        <v>1</v>
      </c>
      <c r="AU21" s="31">
        <v>1</v>
      </c>
      <c r="AV21" s="31">
        <v>0</v>
      </c>
      <c r="AW21" s="31">
        <v>0</v>
      </c>
      <c r="AX21" s="31">
        <v>0</v>
      </c>
      <c r="AY21" s="31">
        <v>0</v>
      </c>
      <c r="AZ21" s="31"/>
      <c r="BA21" s="31">
        <v>1</v>
      </c>
      <c r="BB21" s="31">
        <v>1</v>
      </c>
      <c r="BC21" s="31">
        <v>0</v>
      </c>
      <c r="BD21" s="31">
        <v>0</v>
      </c>
      <c r="BE21" s="31">
        <v>0</v>
      </c>
      <c r="BF21" s="31"/>
      <c r="BG21" s="31">
        <v>1</v>
      </c>
      <c r="BH21" s="31">
        <v>1</v>
      </c>
      <c r="BI21" s="31">
        <v>0</v>
      </c>
      <c r="BJ21" s="31"/>
      <c r="BK21" s="31">
        <v>1</v>
      </c>
      <c r="BL21" s="31">
        <v>1</v>
      </c>
      <c r="BM21" s="31">
        <v>0</v>
      </c>
      <c r="BN21" s="31"/>
      <c r="BO21" s="31">
        <v>1</v>
      </c>
      <c r="BP21" s="31">
        <v>0</v>
      </c>
      <c r="BQ21" s="31"/>
      <c r="BR21" s="31">
        <v>1</v>
      </c>
    </row>
    <row r="22" spans="1:70" x14ac:dyDescent="0.3">
      <c r="A22" t="s">
        <v>19</v>
      </c>
      <c r="B22" s="15"/>
      <c r="R22" t="s">
        <v>46</v>
      </c>
      <c r="AB22">
        <v>20</v>
      </c>
      <c r="AC22" t="s">
        <v>72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/>
      <c r="AL22" s="13">
        <v>1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/>
      <c r="AT22" s="13">
        <v>1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/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/>
      <c r="BG22" s="13">
        <v>0</v>
      </c>
      <c r="BH22" s="13">
        <v>0</v>
      </c>
      <c r="BI22" s="13">
        <v>0</v>
      </c>
      <c r="BJ22" s="13"/>
      <c r="BK22" s="13">
        <v>1</v>
      </c>
      <c r="BL22" s="13">
        <v>0</v>
      </c>
      <c r="BM22" s="13">
        <v>0</v>
      </c>
      <c r="BN22" s="13"/>
      <c r="BO22" s="13">
        <v>1</v>
      </c>
      <c r="BP22" s="13">
        <v>0</v>
      </c>
      <c r="BQ22" s="13"/>
      <c r="BR22" s="13">
        <v>0</v>
      </c>
    </row>
    <row r="23" spans="1:70" x14ac:dyDescent="0.3">
      <c r="A23" t="s">
        <v>20</v>
      </c>
      <c r="R23" s="1"/>
      <c r="S23" s="6" t="s">
        <v>1</v>
      </c>
      <c r="T23" s="6" t="s">
        <v>2</v>
      </c>
      <c r="U23" s="6" t="s">
        <v>4</v>
      </c>
      <c r="V23" s="6" t="s">
        <v>6</v>
      </c>
      <c r="W23" s="6" t="s">
        <v>8</v>
      </c>
      <c r="X23" s="6" t="s">
        <v>9</v>
      </c>
      <c r="Y23" s="6" t="s">
        <v>11</v>
      </c>
      <c r="Z23" s="6" t="s">
        <v>13</v>
      </c>
      <c r="AA23" s="6" t="s">
        <v>15</v>
      </c>
      <c r="AC23" s="30"/>
      <c r="AD23" s="1"/>
      <c r="AE23" s="1"/>
      <c r="AF23" s="1"/>
      <c r="AG23" s="1"/>
      <c r="AH23" s="1"/>
      <c r="AI23" s="1"/>
      <c r="AJ23" s="1"/>
      <c r="AL23" s="1"/>
      <c r="AM23" s="1"/>
      <c r="AN23" s="1"/>
      <c r="AO23" s="1"/>
      <c r="AP23" s="1"/>
      <c r="AQ23" s="1"/>
      <c r="AR23" s="1"/>
      <c r="AT23" s="1"/>
      <c r="AU23" s="1"/>
      <c r="AV23" s="1"/>
      <c r="AW23" s="1"/>
      <c r="AX23" s="1"/>
      <c r="AY23" s="1"/>
      <c r="BA23" s="1"/>
      <c r="BB23" s="1"/>
      <c r="BC23" s="1"/>
      <c r="BD23" s="1"/>
      <c r="BE23" s="1"/>
      <c r="BG23" s="1"/>
      <c r="BH23" s="1"/>
      <c r="BI23" s="1"/>
      <c r="BK23" s="1"/>
      <c r="BL23" s="1"/>
      <c r="BM23" s="1"/>
      <c r="BO23" s="1"/>
      <c r="BP23" s="1"/>
      <c r="BR23" s="1"/>
    </row>
    <row r="24" spans="1:70" x14ac:dyDescent="0.3">
      <c r="A24" t="s">
        <v>23</v>
      </c>
      <c r="R24" s="6" t="s">
        <v>1</v>
      </c>
      <c r="S24" s="1"/>
      <c r="T24" s="1"/>
      <c r="U24" s="1">
        <f>$R$17-T2-$AA$17*(1-AD3)</f>
        <v>6.2172489379008766E-15</v>
      </c>
      <c r="V24" s="1">
        <f t="shared" ref="V24:Z24" si="34">$R$17-U2-$AA$17*(1-AE3)</f>
        <v>-1.0100000000041485</v>
      </c>
      <c r="W24" s="1">
        <f t="shared" si="34"/>
        <v>-3.1300000000041504</v>
      </c>
      <c r="X24" s="1">
        <f t="shared" si="34"/>
        <v>-5.1500000000041544</v>
      </c>
      <c r="Y24" s="1">
        <f t="shared" si="34"/>
        <v>-8.2700000000041669</v>
      </c>
      <c r="Z24" s="1">
        <f t="shared" si="34"/>
        <v>-10.710000000004175</v>
      </c>
      <c r="AA24" s="1">
        <f>$R$17-Z2-$AA$17*(1-AJ3)</f>
        <v>-15.860000000004202</v>
      </c>
      <c r="AB24">
        <v>1</v>
      </c>
      <c r="AC24" t="s">
        <v>47</v>
      </c>
      <c r="AD24" s="1">
        <f>SUM(AD3,AD6)</f>
        <v>1</v>
      </c>
      <c r="AE24" s="1">
        <f t="shared" ref="AE24:BR24" si="35">SUM(AE3,AE6)</f>
        <v>1</v>
      </c>
      <c r="AF24" s="1">
        <f t="shared" si="35"/>
        <v>1</v>
      </c>
      <c r="AG24" s="1">
        <f t="shared" si="35"/>
        <v>1</v>
      </c>
      <c r="AH24" s="1">
        <f t="shared" si="35"/>
        <v>1</v>
      </c>
      <c r="AI24" s="1">
        <f t="shared" si="35"/>
        <v>1</v>
      </c>
      <c r="AJ24" s="1">
        <f t="shared" si="35"/>
        <v>1</v>
      </c>
      <c r="AK24" s="1">
        <f t="shared" si="35"/>
        <v>0</v>
      </c>
      <c r="AL24" s="1">
        <f t="shared" si="35"/>
        <v>1</v>
      </c>
      <c r="AM24" s="1">
        <f t="shared" si="35"/>
        <v>1</v>
      </c>
      <c r="AN24" s="1">
        <f t="shared" si="35"/>
        <v>1</v>
      </c>
      <c r="AO24" s="1">
        <f t="shared" si="35"/>
        <v>1</v>
      </c>
      <c r="AP24" s="1">
        <f t="shared" si="35"/>
        <v>1</v>
      </c>
      <c r="AQ24" s="1">
        <f t="shared" si="35"/>
        <v>1</v>
      </c>
      <c r="AR24" s="1">
        <f t="shared" si="35"/>
        <v>1</v>
      </c>
      <c r="AS24" s="1">
        <f t="shared" si="35"/>
        <v>0</v>
      </c>
      <c r="AT24" s="1">
        <f t="shared" si="35"/>
        <v>1</v>
      </c>
      <c r="AU24" s="1">
        <f t="shared" si="35"/>
        <v>1</v>
      </c>
      <c r="AV24" s="1">
        <f t="shared" si="35"/>
        <v>1</v>
      </c>
      <c r="AW24" s="1">
        <f t="shared" si="35"/>
        <v>1</v>
      </c>
      <c r="AX24" s="1">
        <f t="shared" si="35"/>
        <v>1</v>
      </c>
      <c r="AY24" s="1">
        <f t="shared" si="35"/>
        <v>1</v>
      </c>
      <c r="AZ24" s="1">
        <f t="shared" si="35"/>
        <v>0</v>
      </c>
      <c r="BA24" s="1">
        <f t="shared" si="35"/>
        <v>1</v>
      </c>
      <c r="BB24" s="1">
        <f t="shared" si="35"/>
        <v>1</v>
      </c>
      <c r="BC24" s="1">
        <f t="shared" si="35"/>
        <v>1</v>
      </c>
      <c r="BD24" s="1">
        <f t="shared" si="35"/>
        <v>1</v>
      </c>
      <c r="BE24" s="1">
        <f t="shared" si="35"/>
        <v>1</v>
      </c>
      <c r="BF24" s="1">
        <f t="shared" si="35"/>
        <v>0</v>
      </c>
      <c r="BG24" s="1">
        <f t="shared" si="35"/>
        <v>1</v>
      </c>
      <c r="BH24" s="1">
        <f t="shared" si="35"/>
        <v>1</v>
      </c>
      <c r="BI24" s="1">
        <f t="shared" si="35"/>
        <v>1</v>
      </c>
      <c r="BJ24" s="1">
        <f t="shared" si="35"/>
        <v>0</v>
      </c>
      <c r="BK24" s="1">
        <f t="shared" si="35"/>
        <v>1</v>
      </c>
      <c r="BL24" s="1">
        <f t="shared" si="35"/>
        <v>1</v>
      </c>
      <c r="BM24" s="1">
        <f t="shared" si="35"/>
        <v>1</v>
      </c>
      <c r="BN24" s="1">
        <f t="shared" si="35"/>
        <v>0</v>
      </c>
      <c r="BO24" s="1">
        <f t="shared" si="35"/>
        <v>1</v>
      </c>
      <c r="BP24" s="1">
        <f t="shared" si="35"/>
        <v>1</v>
      </c>
      <c r="BQ24" s="1">
        <f t="shared" si="35"/>
        <v>0</v>
      </c>
      <c r="BR24" s="1">
        <f t="shared" si="35"/>
        <v>1</v>
      </c>
    </row>
    <row r="25" spans="1:70" x14ac:dyDescent="0.3">
      <c r="A25" t="s">
        <v>24</v>
      </c>
      <c r="R25" s="6" t="s">
        <v>2</v>
      </c>
      <c r="S25" s="1"/>
      <c r="T25" s="1"/>
      <c r="U25" s="1">
        <f>$S$17-T2-$AA$17*(1-AL3)</f>
        <v>-60.589999999995854</v>
      </c>
      <c r="V25" s="1">
        <f t="shared" ref="V25:Z25" si="36">$S$17-U2-$AA$17*(1-AM3)</f>
        <v>0</v>
      </c>
      <c r="W25" s="1">
        <f t="shared" si="36"/>
        <v>-2.1200000000000019</v>
      </c>
      <c r="X25" s="1">
        <f t="shared" si="36"/>
        <v>-4.1400000000000059</v>
      </c>
      <c r="Y25" s="1">
        <f t="shared" si="36"/>
        <v>-7.2600000000000193</v>
      </c>
      <c r="Z25" s="1">
        <f t="shared" si="36"/>
        <v>-9.7000000000000277</v>
      </c>
      <c r="AA25" s="1">
        <f>$S$17-Z2-$AA$17*(1-AR3)</f>
        <v>-14.850000000000055</v>
      </c>
      <c r="AB25">
        <v>2</v>
      </c>
      <c r="AC25" t="s">
        <v>51</v>
      </c>
      <c r="AD25" s="1">
        <f>SUM(AD7,AD4)</f>
        <v>1</v>
      </c>
      <c r="AE25" s="1">
        <f t="shared" ref="AE25:BR25" si="37">SUM(AE7,AE4)</f>
        <v>1</v>
      </c>
      <c r="AF25" s="1">
        <f t="shared" si="37"/>
        <v>1</v>
      </c>
      <c r="AG25" s="1">
        <f t="shared" si="37"/>
        <v>1</v>
      </c>
      <c r="AH25" s="1">
        <f t="shared" si="37"/>
        <v>1</v>
      </c>
      <c r="AI25" s="1">
        <f t="shared" si="37"/>
        <v>1</v>
      </c>
      <c r="AJ25" s="1">
        <f t="shared" si="37"/>
        <v>1</v>
      </c>
      <c r="AK25" s="1">
        <f t="shared" si="37"/>
        <v>0</v>
      </c>
      <c r="AL25" s="1">
        <f t="shared" si="37"/>
        <v>1</v>
      </c>
      <c r="AM25" s="1">
        <f t="shared" si="37"/>
        <v>1</v>
      </c>
      <c r="AN25" s="1">
        <f t="shared" si="37"/>
        <v>1</v>
      </c>
      <c r="AO25" s="1">
        <f t="shared" si="37"/>
        <v>1</v>
      </c>
      <c r="AP25" s="1">
        <f t="shared" si="37"/>
        <v>1</v>
      </c>
      <c r="AQ25" s="1">
        <f t="shared" si="37"/>
        <v>1</v>
      </c>
      <c r="AR25" s="1">
        <f t="shared" si="37"/>
        <v>1</v>
      </c>
      <c r="AS25" s="1">
        <f t="shared" si="37"/>
        <v>0</v>
      </c>
      <c r="AT25" s="1">
        <f t="shared" si="37"/>
        <v>1</v>
      </c>
      <c r="AU25" s="1">
        <f t="shared" si="37"/>
        <v>1</v>
      </c>
      <c r="AV25" s="1">
        <f t="shared" si="37"/>
        <v>1</v>
      </c>
      <c r="AW25" s="1">
        <f t="shared" si="37"/>
        <v>1</v>
      </c>
      <c r="AX25" s="1">
        <f t="shared" si="37"/>
        <v>1</v>
      </c>
      <c r="AY25" s="1">
        <f t="shared" si="37"/>
        <v>1</v>
      </c>
      <c r="AZ25" s="1">
        <f t="shared" si="37"/>
        <v>0</v>
      </c>
      <c r="BA25" s="1">
        <f t="shared" si="37"/>
        <v>1</v>
      </c>
      <c r="BB25" s="1">
        <f t="shared" si="37"/>
        <v>1</v>
      </c>
      <c r="BC25" s="1">
        <f t="shared" si="37"/>
        <v>1</v>
      </c>
      <c r="BD25" s="1">
        <f t="shared" si="37"/>
        <v>1</v>
      </c>
      <c r="BE25" s="1">
        <f t="shared" si="37"/>
        <v>1</v>
      </c>
      <c r="BF25" s="1">
        <f t="shared" si="37"/>
        <v>0</v>
      </c>
      <c r="BG25" s="1">
        <f t="shared" si="37"/>
        <v>1</v>
      </c>
      <c r="BH25" s="1">
        <f t="shared" si="37"/>
        <v>1</v>
      </c>
      <c r="BI25" s="1">
        <f t="shared" si="37"/>
        <v>1</v>
      </c>
      <c r="BJ25" s="1">
        <f t="shared" si="37"/>
        <v>0</v>
      </c>
      <c r="BK25" s="1">
        <f t="shared" si="37"/>
        <v>1</v>
      </c>
      <c r="BL25" s="1">
        <f t="shared" si="37"/>
        <v>1</v>
      </c>
      <c r="BM25" s="1">
        <f t="shared" si="37"/>
        <v>1</v>
      </c>
      <c r="BN25" s="1">
        <f t="shared" si="37"/>
        <v>0</v>
      </c>
      <c r="BO25" s="1">
        <f t="shared" si="37"/>
        <v>1</v>
      </c>
      <c r="BP25" s="1">
        <f t="shared" si="37"/>
        <v>1</v>
      </c>
      <c r="BQ25" s="1">
        <f t="shared" si="37"/>
        <v>0</v>
      </c>
      <c r="BR25" s="1">
        <f t="shared" si="37"/>
        <v>1</v>
      </c>
    </row>
    <row r="26" spans="1:70" x14ac:dyDescent="0.3">
      <c r="R26" s="6" t="s">
        <v>4</v>
      </c>
      <c r="S26" s="1"/>
      <c r="T26" s="1"/>
      <c r="U26" s="1"/>
      <c r="V26" s="1">
        <f>$T$17-U2-$AA$17*(1-AT3)</f>
        <v>-59.480000000000011</v>
      </c>
      <c r="W26" s="1">
        <f t="shared" ref="W26:Z26" si="38">$T$17-V2-$AA$17*(1-AU3)</f>
        <v>-6.2172489379008766E-15</v>
      </c>
      <c r="X26" s="1">
        <f t="shared" si="38"/>
        <v>-2.0200000000000102</v>
      </c>
      <c r="Y26" s="1">
        <f t="shared" si="38"/>
        <v>-5.1400000000000237</v>
      </c>
      <c r="Z26" s="1">
        <f t="shared" si="38"/>
        <v>-7.580000000000032</v>
      </c>
      <c r="AA26" s="1">
        <f>$T$17-Z2-$AA$17*(1-AY3)</f>
        <v>-12.730000000000059</v>
      </c>
      <c r="AB26">
        <v>3</v>
      </c>
      <c r="AC26" t="s">
        <v>58</v>
      </c>
      <c r="AD26" s="1">
        <f>SUM(AD12,AD9)</f>
        <v>1</v>
      </c>
      <c r="AE26" s="1">
        <f t="shared" ref="AE26:BR26" si="39">SUM(AE12,AE9)</f>
        <v>1</v>
      </c>
      <c r="AF26" s="1">
        <f t="shared" si="39"/>
        <v>1</v>
      </c>
      <c r="AG26" s="1">
        <f t="shared" si="39"/>
        <v>1</v>
      </c>
      <c r="AH26" s="1">
        <f t="shared" si="39"/>
        <v>1</v>
      </c>
      <c r="AI26" s="1">
        <f t="shared" si="39"/>
        <v>1</v>
      </c>
      <c r="AJ26" s="1">
        <f t="shared" si="39"/>
        <v>1</v>
      </c>
      <c r="AK26" s="1">
        <f t="shared" si="39"/>
        <v>0</v>
      </c>
      <c r="AL26" s="1">
        <f t="shared" si="39"/>
        <v>1</v>
      </c>
      <c r="AM26" s="1">
        <f t="shared" si="39"/>
        <v>1</v>
      </c>
      <c r="AN26" s="1">
        <f t="shared" si="39"/>
        <v>1</v>
      </c>
      <c r="AO26" s="1">
        <f t="shared" si="39"/>
        <v>1</v>
      </c>
      <c r="AP26" s="1">
        <f t="shared" si="39"/>
        <v>1</v>
      </c>
      <c r="AQ26" s="1">
        <f t="shared" si="39"/>
        <v>1</v>
      </c>
      <c r="AR26" s="1">
        <f t="shared" si="39"/>
        <v>1</v>
      </c>
      <c r="AS26" s="1">
        <f t="shared" si="39"/>
        <v>0</v>
      </c>
      <c r="AT26" s="1">
        <f t="shared" si="39"/>
        <v>1</v>
      </c>
      <c r="AU26" s="1">
        <f t="shared" si="39"/>
        <v>1</v>
      </c>
      <c r="AV26" s="1">
        <f t="shared" si="39"/>
        <v>1</v>
      </c>
      <c r="AW26" s="1">
        <f t="shared" si="39"/>
        <v>1</v>
      </c>
      <c r="AX26" s="1">
        <f t="shared" si="39"/>
        <v>1</v>
      </c>
      <c r="AY26" s="1">
        <f t="shared" si="39"/>
        <v>1</v>
      </c>
      <c r="AZ26" s="1">
        <f t="shared" si="39"/>
        <v>0</v>
      </c>
      <c r="BA26" s="1">
        <f t="shared" si="39"/>
        <v>1</v>
      </c>
      <c r="BB26" s="1">
        <f t="shared" si="39"/>
        <v>1</v>
      </c>
      <c r="BC26" s="1">
        <f t="shared" si="39"/>
        <v>1</v>
      </c>
      <c r="BD26" s="1">
        <f t="shared" si="39"/>
        <v>1</v>
      </c>
      <c r="BE26" s="1">
        <f t="shared" si="39"/>
        <v>1</v>
      </c>
      <c r="BF26" s="1">
        <f t="shared" si="39"/>
        <v>0</v>
      </c>
      <c r="BG26" s="1">
        <f t="shared" si="39"/>
        <v>1</v>
      </c>
      <c r="BH26" s="1">
        <f t="shared" si="39"/>
        <v>1</v>
      </c>
      <c r="BI26" s="1">
        <f t="shared" si="39"/>
        <v>1</v>
      </c>
      <c r="BJ26" s="1">
        <f t="shared" si="39"/>
        <v>0</v>
      </c>
      <c r="BK26" s="1">
        <f t="shared" si="39"/>
        <v>1</v>
      </c>
      <c r="BL26" s="1">
        <f t="shared" si="39"/>
        <v>1</v>
      </c>
      <c r="BM26" s="1">
        <f t="shared" si="39"/>
        <v>1</v>
      </c>
      <c r="BN26" s="1">
        <f t="shared" si="39"/>
        <v>0</v>
      </c>
      <c r="BO26" s="1">
        <f t="shared" si="39"/>
        <v>1</v>
      </c>
      <c r="BP26" s="1">
        <f t="shared" si="39"/>
        <v>1</v>
      </c>
      <c r="BQ26" s="1">
        <f t="shared" si="39"/>
        <v>0</v>
      </c>
      <c r="BR26" s="1">
        <f t="shared" si="39"/>
        <v>1</v>
      </c>
    </row>
    <row r="27" spans="1:70" x14ac:dyDescent="0.3">
      <c r="R27" s="6" t="s">
        <v>6</v>
      </c>
      <c r="S27" s="1"/>
      <c r="T27" s="1"/>
      <c r="U27" s="1"/>
      <c r="V27" s="1"/>
      <c r="W27" s="1">
        <f>$U$17-V2-$AA$17*(1-BA3)</f>
        <v>-60.710000000000015</v>
      </c>
      <c r="X27" s="1">
        <f t="shared" ref="X27:Z27" si="40">$U$17-W2-$AA$17*(1-BB3)</f>
        <v>-1.1300000000000106</v>
      </c>
      <c r="Y27" s="1">
        <f t="shared" si="40"/>
        <v>-4.250000000000024</v>
      </c>
      <c r="Z27" s="1">
        <f t="shared" si="40"/>
        <v>-6.6900000000000324</v>
      </c>
      <c r="AA27" s="1">
        <f>$U$17-Z2-$AA$17*(1-BE3)</f>
        <v>-11.84000000000006</v>
      </c>
      <c r="AB27">
        <v>4</v>
      </c>
      <c r="AC27" t="s">
        <v>70</v>
      </c>
      <c r="AD27" s="1">
        <f>SUM(AD19,AD15)</f>
        <v>1</v>
      </c>
      <c r="AE27" s="1">
        <f t="shared" ref="AE27:BR27" si="41">SUM(AE19,AE15)</f>
        <v>1</v>
      </c>
      <c r="AF27" s="1">
        <f t="shared" si="41"/>
        <v>1</v>
      </c>
      <c r="AG27" s="1">
        <f t="shared" si="41"/>
        <v>1</v>
      </c>
      <c r="AH27" s="1">
        <f t="shared" si="41"/>
        <v>1</v>
      </c>
      <c r="AI27" s="1">
        <f t="shared" si="41"/>
        <v>1</v>
      </c>
      <c r="AJ27" s="1">
        <f t="shared" si="41"/>
        <v>1</v>
      </c>
      <c r="AK27" s="1">
        <f t="shared" si="41"/>
        <v>0</v>
      </c>
      <c r="AL27" s="1">
        <f t="shared" si="41"/>
        <v>1</v>
      </c>
      <c r="AM27" s="1">
        <f t="shared" si="41"/>
        <v>1</v>
      </c>
      <c r="AN27" s="1">
        <f t="shared" si="41"/>
        <v>1</v>
      </c>
      <c r="AO27" s="1">
        <f t="shared" si="41"/>
        <v>1</v>
      </c>
      <c r="AP27" s="1">
        <f t="shared" si="41"/>
        <v>1</v>
      </c>
      <c r="AQ27" s="1">
        <f t="shared" si="41"/>
        <v>1</v>
      </c>
      <c r="AR27" s="1">
        <f t="shared" si="41"/>
        <v>1</v>
      </c>
      <c r="AS27" s="1">
        <f t="shared" si="41"/>
        <v>0</v>
      </c>
      <c r="AT27" s="1">
        <f t="shared" si="41"/>
        <v>1</v>
      </c>
      <c r="AU27" s="1">
        <f t="shared" si="41"/>
        <v>1</v>
      </c>
      <c r="AV27" s="1">
        <f t="shared" si="41"/>
        <v>1</v>
      </c>
      <c r="AW27" s="1">
        <f t="shared" si="41"/>
        <v>1</v>
      </c>
      <c r="AX27" s="1">
        <f t="shared" si="41"/>
        <v>1</v>
      </c>
      <c r="AY27" s="1">
        <f t="shared" si="41"/>
        <v>1</v>
      </c>
      <c r="AZ27" s="1">
        <f t="shared" si="41"/>
        <v>0</v>
      </c>
      <c r="BA27" s="1">
        <f t="shared" si="41"/>
        <v>1</v>
      </c>
      <c r="BB27" s="1">
        <f t="shared" si="41"/>
        <v>1</v>
      </c>
      <c r="BC27" s="1">
        <f t="shared" si="41"/>
        <v>1</v>
      </c>
      <c r="BD27" s="1">
        <f t="shared" si="41"/>
        <v>1</v>
      </c>
      <c r="BE27" s="1">
        <f t="shared" si="41"/>
        <v>1</v>
      </c>
      <c r="BF27" s="1">
        <f t="shared" si="41"/>
        <v>0</v>
      </c>
      <c r="BG27" s="1">
        <f t="shared" si="41"/>
        <v>1</v>
      </c>
      <c r="BH27" s="1">
        <f t="shared" si="41"/>
        <v>1</v>
      </c>
      <c r="BI27" s="1">
        <f t="shared" si="41"/>
        <v>1</v>
      </c>
      <c r="BJ27" s="1">
        <f t="shared" si="41"/>
        <v>0</v>
      </c>
      <c r="BK27" s="1">
        <f t="shared" si="41"/>
        <v>1</v>
      </c>
      <c r="BL27" s="1">
        <f t="shared" si="41"/>
        <v>1</v>
      </c>
      <c r="BM27" s="1">
        <f t="shared" si="41"/>
        <v>1</v>
      </c>
      <c r="BN27" s="1">
        <f t="shared" si="41"/>
        <v>0</v>
      </c>
      <c r="BO27" s="1">
        <f t="shared" si="41"/>
        <v>1</v>
      </c>
      <c r="BP27" s="1">
        <f t="shared" si="41"/>
        <v>1</v>
      </c>
      <c r="BQ27" s="1">
        <f t="shared" si="41"/>
        <v>0</v>
      </c>
      <c r="BR27" s="1">
        <f t="shared" si="41"/>
        <v>1</v>
      </c>
    </row>
    <row r="28" spans="1:70" x14ac:dyDescent="0.3">
      <c r="A28" t="s">
        <v>21</v>
      </c>
      <c r="R28" s="6" t="s">
        <v>8</v>
      </c>
      <c r="S28" s="1"/>
      <c r="T28" s="1"/>
      <c r="U28" s="1"/>
      <c r="V28" s="1"/>
      <c r="W28" s="1"/>
      <c r="X28" s="1"/>
      <c r="Y28" s="1">
        <f>$V$17-X2-$AA$17*(1-BG3)</f>
        <v>-1.2199999999999953</v>
      </c>
      <c r="Z28" s="1">
        <f t="shared" ref="Z28:AA28" si="42">$V$17-Y2-$AA$17*(1-BH3)</f>
        <v>-3.6600000000000037</v>
      </c>
      <c r="AA28" s="1">
        <f t="shared" si="42"/>
        <v>-8.8100000000000307</v>
      </c>
      <c r="AB28">
        <v>5</v>
      </c>
      <c r="AC28" t="s">
        <v>52</v>
      </c>
      <c r="AD28" s="1">
        <f>SUM(AD8,AD5)</f>
        <v>1</v>
      </c>
      <c r="AE28" s="1">
        <f t="shared" ref="AE28:BR28" si="43">SUM(AE8,AE5)</f>
        <v>1</v>
      </c>
      <c r="AF28" s="1">
        <f t="shared" si="43"/>
        <v>1</v>
      </c>
      <c r="AG28" s="1">
        <f t="shared" si="43"/>
        <v>1</v>
      </c>
      <c r="AH28" s="1">
        <f t="shared" si="43"/>
        <v>1</v>
      </c>
      <c r="AI28" s="1">
        <f t="shared" si="43"/>
        <v>1</v>
      </c>
      <c r="AJ28" s="1">
        <f t="shared" si="43"/>
        <v>1</v>
      </c>
      <c r="AK28" s="1">
        <f t="shared" si="43"/>
        <v>0</v>
      </c>
      <c r="AL28" s="1">
        <f t="shared" si="43"/>
        <v>1</v>
      </c>
      <c r="AM28" s="1">
        <f t="shared" si="43"/>
        <v>1</v>
      </c>
      <c r="AN28" s="1">
        <f t="shared" si="43"/>
        <v>1</v>
      </c>
      <c r="AO28" s="1">
        <f t="shared" si="43"/>
        <v>1</v>
      </c>
      <c r="AP28" s="1">
        <f t="shared" si="43"/>
        <v>1</v>
      </c>
      <c r="AQ28" s="1">
        <f t="shared" si="43"/>
        <v>1</v>
      </c>
      <c r="AR28" s="1">
        <f t="shared" si="43"/>
        <v>1</v>
      </c>
      <c r="AS28" s="1">
        <f t="shared" si="43"/>
        <v>0</v>
      </c>
      <c r="AT28" s="1">
        <f t="shared" si="43"/>
        <v>1</v>
      </c>
      <c r="AU28" s="1">
        <f t="shared" si="43"/>
        <v>1</v>
      </c>
      <c r="AV28" s="1">
        <f t="shared" si="43"/>
        <v>1</v>
      </c>
      <c r="AW28" s="1">
        <f t="shared" si="43"/>
        <v>1</v>
      </c>
      <c r="AX28" s="1">
        <f t="shared" si="43"/>
        <v>1</v>
      </c>
      <c r="AY28" s="1">
        <f t="shared" si="43"/>
        <v>1</v>
      </c>
      <c r="AZ28" s="1">
        <f t="shared" si="43"/>
        <v>0</v>
      </c>
      <c r="BA28" s="1">
        <f t="shared" si="43"/>
        <v>1</v>
      </c>
      <c r="BB28" s="1">
        <f t="shared" si="43"/>
        <v>1</v>
      </c>
      <c r="BC28" s="1">
        <f t="shared" si="43"/>
        <v>1</v>
      </c>
      <c r="BD28" s="1">
        <f t="shared" si="43"/>
        <v>1</v>
      </c>
      <c r="BE28" s="1">
        <f t="shared" si="43"/>
        <v>1</v>
      </c>
      <c r="BF28" s="1">
        <f t="shared" si="43"/>
        <v>0</v>
      </c>
      <c r="BG28" s="1">
        <f t="shared" si="43"/>
        <v>1</v>
      </c>
      <c r="BH28" s="1">
        <f t="shared" si="43"/>
        <v>1</v>
      </c>
      <c r="BI28" s="1">
        <f t="shared" si="43"/>
        <v>1</v>
      </c>
      <c r="BJ28" s="1">
        <f t="shared" si="43"/>
        <v>0</v>
      </c>
      <c r="BK28" s="1">
        <f t="shared" si="43"/>
        <v>1</v>
      </c>
      <c r="BL28" s="1">
        <f t="shared" si="43"/>
        <v>1</v>
      </c>
      <c r="BM28" s="1">
        <f t="shared" si="43"/>
        <v>1</v>
      </c>
      <c r="BN28" s="1">
        <f t="shared" si="43"/>
        <v>0</v>
      </c>
      <c r="BO28" s="1">
        <f t="shared" si="43"/>
        <v>1</v>
      </c>
      <c r="BP28" s="1">
        <f t="shared" si="43"/>
        <v>1</v>
      </c>
      <c r="BQ28" s="1">
        <f t="shared" si="43"/>
        <v>0</v>
      </c>
      <c r="BR28" s="1">
        <f t="shared" si="43"/>
        <v>1</v>
      </c>
    </row>
    <row r="29" spans="1:70" x14ac:dyDescent="0.3">
      <c r="B29" s="3" t="s">
        <v>1</v>
      </c>
      <c r="C29" s="3" t="s">
        <v>2</v>
      </c>
      <c r="D29" t="s">
        <v>3</v>
      </c>
      <c r="E29" s="3" t="s">
        <v>4</v>
      </c>
      <c r="F29" t="s">
        <v>5</v>
      </c>
      <c r="G29" s="3" t="s">
        <v>6</v>
      </c>
      <c r="H29" t="s">
        <v>7</v>
      </c>
      <c r="I29" s="3" t="s">
        <v>8</v>
      </c>
      <c r="J29" s="3" t="s">
        <v>9</v>
      </c>
      <c r="K29" t="s">
        <v>10</v>
      </c>
      <c r="L29" s="3" t="s">
        <v>11</v>
      </c>
      <c r="M29" t="s">
        <v>12</v>
      </c>
      <c r="N29" s="3" t="s">
        <v>13</v>
      </c>
      <c r="O29" t="s">
        <v>14</v>
      </c>
      <c r="P29" s="3" t="s">
        <v>15</v>
      </c>
      <c r="R29" s="6" t="s">
        <v>9</v>
      </c>
      <c r="S29" s="1"/>
      <c r="T29" s="1"/>
      <c r="U29" s="1"/>
      <c r="V29" s="1"/>
      <c r="W29" s="1"/>
      <c r="X29" s="1"/>
      <c r="Y29" s="1">
        <f>$W$17-X2-$AA$17*(1-BK3)</f>
        <v>-59.28</v>
      </c>
      <c r="Z29" s="1">
        <f t="shared" ref="Z29:AA29" si="44">$W$17-Y2-$AA$17*(1-BL3)</f>
        <v>-0.12000000000000455</v>
      </c>
      <c r="AA29" s="1">
        <f t="shared" si="44"/>
        <v>-5.2700000000000315</v>
      </c>
      <c r="AB29">
        <v>6</v>
      </c>
      <c r="AC29" t="s">
        <v>59</v>
      </c>
      <c r="AD29" s="1">
        <f>SUM(AD13,AD10)</f>
        <v>1</v>
      </c>
      <c r="AE29" s="1">
        <f t="shared" ref="AE29:BR29" si="45">SUM(AE13,AE10)</f>
        <v>1</v>
      </c>
      <c r="AF29" s="1">
        <f t="shared" si="45"/>
        <v>1</v>
      </c>
      <c r="AG29" s="1">
        <f t="shared" si="45"/>
        <v>1</v>
      </c>
      <c r="AH29" s="1">
        <f t="shared" si="45"/>
        <v>1</v>
      </c>
      <c r="AI29" s="1">
        <f t="shared" si="45"/>
        <v>1</v>
      </c>
      <c r="AJ29" s="1">
        <f t="shared" si="45"/>
        <v>1</v>
      </c>
      <c r="AK29" s="1">
        <f t="shared" si="45"/>
        <v>0</v>
      </c>
      <c r="AL29" s="1">
        <f t="shared" si="45"/>
        <v>1</v>
      </c>
      <c r="AM29" s="1">
        <f t="shared" si="45"/>
        <v>1</v>
      </c>
      <c r="AN29" s="1">
        <f t="shared" si="45"/>
        <v>1</v>
      </c>
      <c r="AO29" s="1">
        <f t="shared" si="45"/>
        <v>1</v>
      </c>
      <c r="AP29" s="1">
        <f t="shared" si="45"/>
        <v>1</v>
      </c>
      <c r="AQ29" s="1">
        <f t="shared" si="45"/>
        <v>1</v>
      </c>
      <c r="AR29" s="1">
        <f t="shared" si="45"/>
        <v>1</v>
      </c>
      <c r="AS29" s="1">
        <f t="shared" si="45"/>
        <v>0</v>
      </c>
      <c r="AT29" s="1">
        <f t="shared" si="45"/>
        <v>1</v>
      </c>
      <c r="AU29" s="1">
        <f t="shared" si="45"/>
        <v>1</v>
      </c>
      <c r="AV29" s="1">
        <f t="shared" si="45"/>
        <v>1</v>
      </c>
      <c r="AW29" s="1">
        <f t="shared" si="45"/>
        <v>1</v>
      </c>
      <c r="AX29" s="1">
        <f t="shared" si="45"/>
        <v>1</v>
      </c>
      <c r="AY29" s="1">
        <f t="shared" si="45"/>
        <v>1</v>
      </c>
      <c r="AZ29" s="1">
        <f t="shared" si="45"/>
        <v>0</v>
      </c>
      <c r="BA29" s="1">
        <f t="shared" si="45"/>
        <v>1</v>
      </c>
      <c r="BB29" s="1">
        <f t="shared" si="45"/>
        <v>1</v>
      </c>
      <c r="BC29" s="1">
        <f t="shared" si="45"/>
        <v>1</v>
      </c>
      <c r="BD29" s="1">
        <f t="shared" si="45"/>
        <v>1</v>
      </c>
      <c r="BE29" s="1">
        <f t="shared" si="45"/>
        <v>1</v>
      </c>
      <c r="BF29" s="1">
        <f t="shared" si="45"/>
        <v>0</v>
      </c>
      <c r="BG29" s="1">
        <f t="shared" si="45"/>
        <v>1</v>
      </c>
      <c r="BH29" s="1">
        <f t="shared" si="45"/>
        <v>1</v>
      </c>
      <c r="BI29" s="1">
        <f t="shared" si="45"/>
        <v>1</v>
      </c>
      <c r="BJ29" s="1">
        <f t="shared" si="45"/>
        <v>0</v>
      </c>
      <c r="BK29" s="1">
        <f t="shared" si="45"/>
        <v>1</v>
      </c>
      <c r="BL29" s="1">
        <f t="shared" si="45"/>
        <v>1</v>
      </c>
      <c r="BM29" s="1">
        <f t="shared" si="45"/>
        <v>1</v>
      </c>
      <c r="BN29" s="1">
        <f t="shared" si="45"/>
        <v>0</v>
      </c>
      <c r="BO29" s="1">
        <f t="shared" si="45"/>
        <v>1</v>
      </c>
      <c r="BP29" s="1">
        <f t="shared" si="45"/>
        <v>1</v>
      </c>
      <c r="BQ29" s="1">
        <f t="shared" si="45"/>
        <v>0</v>
      </c>
      <c r="BR29" s="1">
        <f t="shared" si="45"/>
        <v>1</v>
      </c>
    </row>
    <row r="30" spans="1:70" x14ac:dyDescent="0.3">
      <c r="A30" s="1" t="s">
        <v>16</v>
      </c>
      <c r="B30" s="1">
        <f>B2+B16</f>
        <v>0</v>
      </c>
      <c r="C30" s="1">
        <f t="shared" ref="C30:O34" si="46">C2+C16</f>
        <v>2.23</v>
      </c>
      <c r="D30" s="1">
        <f t="shared" si="46"/>
        <v>3.5700000000000003</v>
      </c>
      <c r="E30" s="1">
        <f t="shared" si="46"/>
        <v>3.6899999999958437</v>
      </c>
      <c r="F30" s="1">
        <f t="shared" si="46"/>
        <v>4.4599999999958442</v>
      </c>
      <c r="G30" s="1">
        <f t="shared" si="46"/>
        <v>4.6999999999999984</v>
      </c>
      <c r="H30" s="1">
        <f t="shared" si="46"/>
        <v>6.7</v>
      </c>
      <c r="I30" s="1">
        <f t="shared" si="46"/>
        <v>7.1199999999999859</v>
      </c>
      <c r="J30" s="1">
        <f t="shared" si="46"/>
        <v>10.500000000000018</v>
      </c>
      <c r="K30" s="1">
        <f t="shared" si="46"/>
        <v>11.84</v>
      </c>
      <c r="L30" s="1">
        <f t="shared" si="46"/>
        <v>11.960000000000017</v>
      </c>
      <c r="M30" s="1">
        <f t="shared" si="46"/>
        <v>12.730000000000016</v>
      </c>
      <c r="N30" s="1">
        <f t="shared" si="46"/>
        <v>14.400000000000025</v>
      </c>
      <c r="O30" s="1">
        <f t="shared" si="46"/>
        <v>16.399999999999999</v>
      </c>
      <c r="P30" s="11">
        <f>P2+P16</f>
        <v>21.680000000000053</v>
      </c>
      <c r="R30" s="6" t="s">
        <v>11</v>
      </c>
      <c r="S30" s="1"/>
      <c r="T30" s="1"/>
      <c r="U30" s="1"/>
      <c r="V30" s="1"/>
      <c r="W30" s="1"/>
      <c r="X30" s="1"/>
      <c r="Y30" s="1"/>
      <c r="Z30" s="1">
        <f>$X$17-Y2-$AA$17*(1-BO3)</f>
        <v>-57.910000000000032</v>
      </c>
      <c r="AA30" s="1">
        <f>$X$17-Z2-$AA$17*(1-BP3)</f>
        <v>-1.4600000000000506</v>
      </c>
      <c r="AB30">
        <v>7</v>
      </c>
      <c r="AC30" t="s">
        <v>69</v>
      </c>
      <c r="AD30" s="1">
        <f>SUM(AD20,AD16)</f>
        <v>1</v>
      </c>
      <c r="AE30" s="1">
        <f t="shared" ref="AE30:BR30" si="47">SUM(AE20,AE16)</f>
        <v>1</v>
      </c>
      <c r="AF30" s="1">
        <f t="shared" si="47"/>
        <v>1</v>
      </c>
      <c r="AG30" s="1">
        <f t="shared" si="47"/>
        <v>1</v>
      </c>
      <c r="AH30" s="1">
        <f t="shared" si="47"/>
        <v>1</v>
      </c>
      <c r="AI30" s="1">
        <f t="shared" si="47"/>
        <v>1</v>
      </c>
      <c r="AJ30" s="1">
        <f t="shared" si="47"/>
        <v>1</v>
      </c>
      <c r="AK30" s="1">
        <f t="shared" si="47"/>
        <v>0</v>
      </c>
      <c r="AL30" s="1">
        <f t="shared" si="47"/>
        <v>1</v>
      </c>
      <c r="AM30" s="1">
        <f t="shared" si="47"/>
        <v>1</v>
      </c>
      <c r="AN30" s="1">
        <f t="shared" si="47"/>
        <v>1</v>
      </c>
      <c r="AO30" s="1">
        <f t="shared" si="47"/>
        <v>1</v>
      </c>
      <c r="AP30" s="1">
        <f t="shared" si="47"/>
        <v>1</v>
      </c>
      <c r="AQ30" s="1">
        <f t="shared" si="47"/>
        <v>1</v>
      </c>
      <c r="AR30" s="1">
        <f t="shared" si="47"/>
        <v>1</v>
      </c>
      <c r="AS30" s="1">
        <f t="shared" si="47"/>
        <v>0</v>
      </c>
      <c r="AT30" s="1">
        <f t="shared" si="47"/>
        <v>1</v>
      </c>
      <c r="AU30" s="1">
        <f t="shared" si="47"/>
        <v>1</v>
      </c>
      <c r="AV30" s="1">
        <f t="shared" si="47"/>
        <v>1</v>
      </c>
      <c r="AW30" s="1">
        <f t="shared" si="47"/>
        <v>1</v>
      </c>
      <c r="AX30" s="1">
        <f t="shared" si="47"/>
        <v>1</v>
      </c>
      <c r="AY30" s="1">
        <f t="shared" si="47"/>
        <v>1</v>
      </c>
      <c r="AZ30" s="1">
        <f t="shared" si="47"/>
        <v>0</v>
      </c>
      <c r="BA30" s="1">
        <f t="shared" si="47"/>
        <v>1</v>
      </c>
      <c r="BB30" s="1">
        <f t="shared" si="47"/>
        <v>1</v>
      </c>
      <c r="BC30" s="1">
        <f t="shared" si="47"/>
        <v>1</v>
      </c>
      <c r="BD30" s="1">
        <f t="shared" si="47"/>
        <v>1</v>
      </c>
      <c r="BE30" s="1">
        <f t="shared" si="47"/>
        <v>1</v>
      </c>
      <c r="BF30" s="1">
        <f t="shared" si="47"/>
        <v>0</v>
      </c>
      <c r="BG30" s="1">
        <f t="shared" si="47"/>
        <v>1</v>
      </c>
      <c r="BH30" s="1">
        <f t="shared" si="47"/>
        <v>1</v>
      </c>
      <c r="BI30" s="1">
        <f t="shared" si="47"/>
        <v>1</v>
      </c>
      <c r="BJ30" s="1">
        <f t="shared" si="47"/>
        <v>0</v>
      </c>
      <c r="BK30" s="1">
        <f t="shared" si="47"/>
        <v>1</v>
      </c>
      <c r="BL30" s="1">
        <f t="shared" si="47"/>
        <v>1</v>
      </c>
      <c r="BM30" s="1">
        <f t="shared" si="47"/>
        <v>1</v>
      </c>
      <c r="BN30" s="1">
        <f t="shared" si="47"/>
        <v>0</v>
      </c>
      <c r="BO30" s="1">
        <f t="shared" si="47"/>
        <v>1</v>
      </c>
      <c r="BP30" s="1">
        <f t="shared" si="47"/>
        <v>1</v>
      </c>
      <c r="BQ30" s="1">
        <f t="shared" si="47"/>
        <v>0</v>
      </c>
      <c r="BR30" s="1">
        <f t="shared" si="47"/>
        <v>1</v>
      </c>
    </row>
    <row r="31" spans="1:70" x14ac:dyDescent="0.3">
      <c r="A31" s="1" t="s">
        <v>18</v>
      </c>
      <c r="B31" s="1">
        <f>B3+B17</f>
        <v>3.5699999999958498</v>
      </c>
      <c r="C31" s="1">
        <f t="shared" si="46"/>
        <v>4.5799999999999983</v>
      </c>
      <c r="D31" s="1">
        <f t="shared" si="46"/>
        <v>5.9199999999999982</v>
      </c>
      <c r="E31" s="1">
        <f t="shared" si="46"/>
        <v>6.699999999999994</v>
      </c>
      <c r="F31" s="1">
        <f t="shared" si="46"/>
        <v>7.4700000000000006</v>
      </c>
      <c r="G31" s="1">
        <f t="shared" si="46"/>
        <v>7.5899999999999936</v>
      </c>
      <c r="H31" s="1">
        <f t="shared" si="46"/>
        <v>9.5899999999999928</v>
      </c>
      <c r="I31" s="1">
        <f t="shared" si="46"/>
        <v>10.620000000000022</v>
      </c>
      <c r="J31" s="1">
        <f t="shared" si="46"/>
        <v>14.160000000000021</v>
      </c>
      <c r="K31" s="1">
        <f t="shared" si="46"/>
        <v>15.500000000000021</v>
      </c>
      <c r="L31" s="1">
        <f t="shared" si="46"/>
        <v>17.970000000000002</v>
      </c>
      <c r="M31" s="1">
        <f t="shared" si="46"/>
        <v>18.740000000000027</v>
      </c>
      <c r="N31" s="13">
        <f t="shared" si="46"/>
        <v>19.310000000000045</v>
      </c>
      <c r="O31" s="1">
        <f t="shared" si="46"/>
        <v>21.310000000000045</v>
      </c>
      <c r="P31" s="11">
        <f>P3+P17</f>
        <v>26.370000000000065</v>
      </c>
      <c r="R31" s="6" t="s">
        <v>13</v>
      </c>
      <c r="S31" s="1"/>
      <c r="T31" s="1"/>
      <c r="U31" s="1"/>
      <c r="V31" s="1"/>
      <c r="W31" s="1"/>
      <c r="X31" s="1"/>
      <c r="Y31" s="1"/>
      <c r="Z31" s="1"/>
      <c r="AA31" s="1">
        <f>$Y$17-Z2-$AA$17*(1-BR3)</f>
        <v>-0.1200000000000081</v>
      </c>
      <c r="AB31">
        <v>8</v>
      </c>
      <c r="AC31" t="s">
        <v>60</v>
      </c>
      <c r="AD31" s="1">
        <f>SUM(AD14,AD11)</f>
        <v>1</v>
      </c>
      <c r="AE31" s="1">
        <f t="shared" ref="AE31:BR31" si="48">SUM(AE14,AE11)</f>
        <v>1</v>
      </c>
      <c r="AF31" s="1">
        <f t="shared" si="48"/>
        <v>1</v>
      </c>
      <c r="AG31" s="1">
        <f t="shared" si="48"/>
        <v>1</v>
      </c>
      <c r="AH31" s="1">
        <f t="shared" si="48"/>
        <v>1</v>
      </c>
      <c r="AI31" s="1">
        <f t="shared" si="48"/>
        <v>1</v>
      </c>
      <c r="AJ31" s="1">
        <f t="shared" si="48"/>
        <v>1</v>
      </c>
      <c r="AK31" s="1">
        <f t="shared" si="48"/>
        <v>0</v>
      </c>
      <c r="AL31" s="1">
        <f t="shared" si="48"/>
        <v>1</v>
      </c>
      <c r="AM31" s="1">
        <f t="shared" si="48"/>
        <v>1</v>
      </c>
      <c r="AN31" s="1">
        <f t="shared" si="48"/>
        <v>1</v>
      </c>
      <c r="AO31" s="1">
        <f t="shared" si="48"/>
        <v>1</v>
      </c>
      <c r="AP31" s="1">
        <f t="shared" si="48"/>
        <v>1</v>
      </c>
      <c r="AQ31" s="1">
        <f t="shared" si="48"/>
        <v>1</v>
      </c>
      <c r="AR31" s="1">
        <f t="shared" si="48"/>
        <v>1</v>
      </c>
      <c r="AS31" s="1">
        <f t="shared" si="48"/>
        <v>0</v>
      </c>
      <c r="AT31" s="1">
        <f t="shared" si="48"/>
        <v>1</v>
      </c>
      <c r="AU31" s="1">
        <f t="shared" si="48"/>
        <v>1</v>
      </c>
      <c r="AV31" s="1">
        <f t="shared" si="48"/>
        <v>1</v>
      </c>
      <c r="AW31" s="1">
        <f t="shared" si="48"/>
        <v>1</v>
      </c>
      <c r="AX31" s="1">
        <f t="shared" si="48"/>
        <v>1</v>
      </c>
      <c r="AY31" s="1">
        <f t="shared" si="48"/>
        <v>1</v>
      </c>
      <c r="AZ31" s="1">
        <f t="shared" si="48"/>
        <v>0</v>
      </c>
      <c r="BA31" s="1">
        <f t="shared" si="48"/>
        <v>1</v>
      </c>
      <c r="BB31" s="1">
        <f t="shared" si="48"/>
        <v>1</v>
      </c>
      <c r="BC31" s="1">
        <f t="shared" si="48"/>
        <v>1</v>
      </c>
      <c r="BD31" s="1">
        <f t="shared" si="48"/>
        <v>1</v>
      </c>
      <c r="BE31" s="1">
        <f t="shared" si="48"/>
        <v>1</v>
      </c>
      <c r="BF31" s="1">
        <f t="shared" si="48"/>
        <v>0</v>
      </c>
      <c r="BG31" s="1">
        <f t="shared" si="48"/>
        <v>1</v>
      </c>
      <c r="BH31" s="1">
        <f t="shared" si="48"/>
        <v>1</v>
      </c>
      <c r="BI31" s="1">
        <f t="shared" si="48"/>
        <v>1</v>
      </c>
      <c r="BJ31" s="1">
        <f t="shared" si="48"/>
        <v>0</v>
      </c>
      <c r="BK31" s="1">
        <f t="shared" si="48"/>
        <v>1</v>
      </c>
      <c r="BL31" s="1">
        <f t="shared" si="48"/>
        <v>1</v>
      </c>
      <c r="BM31" s="1">
        <f t="shared" si="48"/>
        <v>1</v>
      </c>
      <c r="BN31" s="1">
        <f t="shared" si="48"/>
        <v>0</v>
      </c>
      <c r="BO31" s="1">
        <f t="shared" si="48"/>
        <v>1</v>
      </c>
      <c r="BP31" s="1">
        <f t="shared" si="48"/>
        <v>1</v>
      </c>
      <c r="BQ31" s="1">
        <f t="shared" si="48"/>
        <v>0</v>
      </c>
      <c r="BR31" s="1">
        <f t="shared" si="48"/>
        <v>1</v>
      </c>
    </row>
    <row r="32" spans="1:70" x14ac:dyDescent="0.3">
      <c r="A32" s="1" t="s">
        <v>28</v>
      </c>
      <c r="B32" s="1">
        <f>B4+B18</f>
        <v>6.5799999999999947</v>
      </c>
      <c r="C32" s="1">
        <f t="shared" si="46"/>
        <v>7.4699999999999873</v>
      </c>
      <c r="D32" s="1">
        <f t="shared" si="46"/>
        <v>8.8099999999999934</v>
      </c>
      <c r="E32" s="1">
        <f t="shared" si="46"/>
        <v>10.62</v>
      </c>
      <c r="F32" s="1">
        <f t="shared" si="46"/>
        <v>11.390000000000017</v>
      </c>
      <c r="G32" s="1">
        <f t="shared" si="46"/>
        <v>11.840000000000012</v>
      </c>
      <c r="H32" s="1">
        <f t="shared" si="46"/>
        <v>13.840000000000012</v>
      </c>
      <c r="I32" s="1">
        <f t="shared" si="46"/>
        <v>17.850000000000001</v>
      </c>
      <c r="J32" s="1">
        <f t="shared" si="46"/>
        <v>19.190000000000037</v>
      </c>
      <c r="K32" s="1">
        <f t="shared" si="46"/>
        <v>20.530000000000044</v>
      </c>
      <c r="L32" s="1">
        <f t="shared" si="46"/>
        <v>21.800000000000054</v>
      </c>
      <c r="M32" s="1">
        <f t="shared" si="46"/>
        <v>22.57</v>
      </c>
      <c r="N32" s="1">
        <f t="shared" si="46"/>
        <v>24.12</v>
      </c>
      <c r="O32" s="1">
        <f t="shared" si="46"/>
        <v>26.120000000000061</v>
      </c>
      <c r="P32" s="1">
        <f>P4+P18</f>
        <v>32.4</v>
      </c>
      <c r="R32" s="6" t="s">
        <v>15</v>
      </c>
      <c r="S32" s="1"/>
      <c r="T32" s="1"/>
      <c r="U32" s="1"/>
      <c r="V32" s="1"/>
      <c r="W32" s="1"/>
      <c r="X32" s="1"/>
      <c r="Y32" s="1"/>
      <c r="Z32" s="1"/>
      <c r="AA32" s="1"/>
      <c r="AB32">
        <v>9</v>
      </c>
      <c r="AC32" t="s">
        <v>71</v>
      </c>
      <c r="AD32" s="1">
        <f>SUM(AD21,AD17)</f>
        <v>1</v>
      </c>
      <c r="AE32" s="1">
        <f t="shared" ref="AE32:BR32" si="49">SUM(AE21,AE17)</f>
        <v>1</v>
      </c>
      <c r="AF32" s="1">
        <f t="shared" si="49"/>
        <v>1</v>
      </c>
      <c r="AG32" s="1">
        <f t="shared" si="49"/>
        <v>1</v>
      </c>
      <c r="AH32" s="1">
        <f t="shared" si="49"/>
        <v>1</v>
      </c>
      <c r="AI32" s="1">
        <f t="shared" si="49"/>
        <v>1</v>
      </c>
      <c r="AJ32" s="1">
        <f t="shared" si="49"/>
        <v>1</v>
      </c>
      <c r="AK32" s="1">
        <f t="shared" si="49"/>
        <v>0</v>
      </c>
      <c r="AL32" s="1">
        <f t="shared" si="49"/>
        <v>1</v>
      </c>
      <c r="AM32" s="1">
        <f t="shared" si="49"/>
        <v>1</v>
      </c>
      <c r="AN32" s="1">
        <f t="shared" si="49"/>
        <v>1</v>
      </c>
      <c r="AO32" s="1">
        <f t="shared" si="49"/>
        <v>1</v>
      </c>
      <c r="AP32" s="1">
        <f t="shared" si="49"/>
        <v>1</v>
      </c>
      <c r="AQ32" s="1">
        <f t="shared" si="49"/>
        <v>1</v>
      </c>
      <c r="AR32" s="1">
        <f t="shared" si="49"/>
        <v>1</v>
      </c>
      <c r="AS32" s="1">
        <f t="shared" si="49"/>
        <v>0</v>
      </c>
      <c r="AT32" s="1">
        <f t="shared" si="49"/>
        <v>1</v>
      </c>
      <c r="AU32" s="1">
        <f t="shared" si="49"/>
        <v>1</v>
      </c>
      <c r="AV32" s="1">
        <f t="shared" si="49"/>
        <v>1</v>
      </c>
      <c r="AW32" s="1">
        <f t="shared" si="49"/>
        <v>1</v>
      </c>
      <c r="AX32" s="1">
        <f t="shared" si="49"/>
        <v>1</v>
      </c>
      <c r="AY32" s="1">
        <f t="shared" si="49"/>
        <v>1</v>
      </c>
      <c r="AZ32" s="1">
        <f t="shared" si="49"/>
        <v>0</v>
      </c>
      <c r="BA32" s="1">
        <f t="shared" si="49"/>
        <v>1</v>
      </c>
      <c r="BB32" s="1">
        <f t="shared" si="49"/>
        <v>1</v>
      </c>
      <c r="BC32" s="1">
        <f t="shared" si="49"/>
        <v>1</v>
      </c>
      <c r="BD32" s="1">
        <f t="shared" si="49"/>
        <v>1</v>
      </c>
      <c r="BE32" s="1">
        <f t="shared" si="49"/>
        <v>1</v>
      </c>
      <c r="BF32" s="1">
        <f t="shared" si="49"/>
        <v>0</v>
      </c>
      <c r="BG32" s="1">
        <f t="shared" si="49"/>
        <v>1</v>
      </c>
      <c r="BH32" s="1">
        <f t="shared" si="49"/>
        <v>1</v>
      </c>
      <c r="BI32" s="1">
        <f t="shared" si="49"/>
        <v>1</v>
      </c>
      <c r="BJ32" s="1">
        <f t="shared" si="49"/>
        <v>0</v>
      </c>
      <c r="BK32" s="1">
        <f t="shared" si="49"/>
        <v>1</v>
      </c>
      <c r="BL32" s="1">
        <f t="shared" si="49"/>
        <v>1</v>
      </c>
      <c r="BM32" s="1">
        <f t="shared" si="49"/>
        <v>1</v>
      </c>
      <c r="BN32" s="1">
        <f t="shared" si="49"/>
        <v>0</v>
      </c>
      <c r="BO32" s="1">
        <f t="shared" si="49"/>
        <v>1</v>
      </c>
      <c r="BP32" s="1">
        <f t="shared" si="49"/>
        <v>1</v>
      </c>
      <c r="BQ32" s="1">
        <f t="shared" si="49"/>
        <v>0</v>
      </c>
      <c r="BR32" s="1">
        <f t="shared" si="49"/>
        <v>1</v>
      </c>
    </row>
    <row r="33" spans="1:70" x14ac:dyDescent="0.3">
      <c r="A33" s="1" t="s">
        <v>30</v>
      </c>
      <c r="B33" s="1">
        <f>B5+B19</f>
        <v>8.7200000000000077</v>
      </c>
      <c r="C33" s="1">
        <f t="shared" si="46"/>
        <v>11.720000000000026</v>
      </c>
      <c r="D33" s="1">
        <f t="shared" si="46"/>
        <v>13.060000000000016</v>
      </c>
      <c r="E33" s="1">
        <f t="shared" si="46"/>
        <v>14.280000000000021</v>
      </c>
      <c r="F33" s="1">
        <f t="shared" si="46"/>
        <v>15.05000000000002</v>
      </c>
      <c r="G33" s="1">
        <f t="shared" si="46"/>
        <v>16.750000000000028</v>
      </c>
      <c r="H33" s="1">
        <f t="shared" si="46"/>
        <v>18.75</v>
      </c>
      <c r="I33" s="1">
        <f t="shared" si="46"/>
        <v>21.8</v>
      </c>
      <c r="J33" s="1">
        <f t="shared" si="46"/>
        <v>24</v>
      </c>
      <c r="K33" s="1">
        <f t="shared" si="46"/>
        <v>25.34</v>
      </c>
      <c r="L33" s="1">
        <f t="shared" si="46"/>
        <v>26.490000000000066</v>
      </c>
      <c r="M33" s="1">
        <f t="shared" si="46"/>
        <v>27.260000000000066</v>
      </c>
      <c r="N33" s="1">
        <f t="shared" si="46"/>
        <v>28.810000000000073</v>
      </c>
      <c r="O33" s="1">
        <f t="shared" si="46"/>
        <v>30.810000000000073</v>
      </c>
      <c r="P33" s="1">
        <f>P5+P19</f>
        <v>34.770000000000081</v>
      </c>
      <c r="AB33">
        <v>10</v>
      </c>
      <c r="AC33" t="s">
        <v>72</v>
      </c>
      <c r="AD33" s="1">
        <f>SUM(AD22,AD18)</f>
        <v>1</v>
      </c>
      <c r="AE33" s="1">
        <f t="shared" ref="AE33:BQ33" si="50">SUM(AE22,AE18)</f>
        <v>1</v>
      </c>
      <c r="AF33" s="1">
        <f t="shared" si="50"/>
        <v>1</v>
      </c>
      <c r="AG33" s="1">
        <f t="shared" si="50"/>
        <v>1</v>
      </c>
      <c r="AH33" s="1">
        <f t="shared" si="50"/>
        <v>1</v>
      </c>
      <c r="AI33" s="1">
        <f t="shared" si="50"/>
        <v>1</v>
      </c>
      <c r="AJ33" s="1">
        <f t="shared" si="50"/>
        <v>1</v>
      </c>
      <c r="AK33" s="1">
        <f t="shared" si="50"/>
        <v>0</v>
      </c>
      <c r="AL33" s="1">
        <f t="shared" si="50"/>
        <v>1</v>
      </c>
      <c r="AM33" s="1">
        <f t="shared" si="50"/>
        <v>1</v>
      </c>
      <c r="AN33" s="1">
        <f t="shared" si="50"/>
        <v>1</v>
      </c>
      <c r="AO33" s="1">
        <f t="shared" si="50"/>
        <v>1</v>
      </c>
      <c r="AP33" s="1">
        <f t="shared" si="50"/>
        <v>1</v>
      </c>
      <c r="AQ33" s="1">
        <f t="shared" si="50"/>
        <v>1</v>
      </c>
      <c r="AR33" s="1">
        <f t="shared" si="50"/>
        <v>1</v>
      </c>
      <c r="AS33" s="1">
        <f t="shared" si="50"/>
        <v>0</v>
      </c>
      <c r="AT33" s="1">
        <f t="shared" si="50"/>
        <v>1</v>
      </c>
      <c r="AU33" s="1">
        <f t="shared" si="50"/>
        <v>1</v>
      </c>
      <c r="AV33" s="1">
        <f t="shared" si="50"/>
        <v>1</v>
      </c>
      <c r="AW33" s="1">
        <f t="shared" si="50"/>
        <v>1</v>
      </c>
      <c r="AX33" s="1">
        <f t="shared" si="50"/>
        <v>1</v>
      </c>
      <c r="AY33" s="1">
        <f t="shared" si="50"/>
        <v>1</v>
      </c>
      <c r="AZ33" s="1">
        <f t="shared" si="50"/>
        <v>0</v>
      </c>
      <c r="BA33" s="1">
        <f t="shared" si="50"/>
        <v>1</v>
      </c>
      <c r="BB33" s="1">
        <f t="shared" si="50"/>
        <v>1</v>
      </c>
      <c r="BC33" s="1">
        <f t="shared" si="50"/>
        <v>1</v>
      </c>
      <c r="BD33" s="1">
        <f t="shared" si="50"/>
        <v>1</v>
      </c>
      <c r="BE33" s="1">
        <f t="shared" si="50"/>
        <v>1</v>
      </c>
      <c r="BF33" s="1">
        <f t="shared" si="50"/>
        <v>0</v>
      </c>
      <c r="BG33" s="1">
        <f t="shared" si="50"/>
        <v>1</v>
      </c>
      <c r="BH33" s="1">
        <f t="shared" si="50"/>
        <v>1</v>
      </c>
      <c r="BI33" s="1">
        <f t="shared" si="50"/>
        <v>1</v>
      </c>
      <c r="BJ33" s="1">
        <f t="shared" si="50"/>
        <v>0</v>
      </c>
      <c r="BK33" s="1">
        <f t="shared" si="50"/>
        <v>1</v>
      </c>
      <c r="BL33" s="1">
        <f t="shared" si="50"/>
        <v>1</v>
      </c>
      <c r="BM33" s="1">
        <f t="shared" si="50"/>
        <v>1</v>
      </c>
      <c r="BN33" s="1">
        <f t="shared" si="50"/>
        <v>0</v>
      </c>
      <c r="BO33" s="1">
        <f t="shared" si="50"/>
        <v>1</v>
      </c>
      <c r="BP33" s="1">
        <f t="shared" si="50"/>
        <v>1</v>
      </c>
      <c r="BQ33" s="1">
        <f t="shared" si="50"/>
        <v>0</v>
      </c>
      <c r="BR33" s="1">
        <f>SUM(BR22,BR18)</f>
        <v>1</v>
      </c>
    </row>
    <row r="34" spans="1:70" x14ac:dyDescent="0.3">
      <c r="A34" s="1" t="s">
        <v>27</v>
      </c>
      <c r="B34" s="1">
        <f>B6+B20</f>
        <v>11.840000000000018</v>
      </c>
      <c r="C34" s="1">
        <f t="shared" si="46"/>
        <v>16.63</v>
      </c>
      <c r="D34" s="1">
        <f t="shared" si="46"/>
        <v>17.970000000000031</v>
      </c>
      <c r="E34" s="1">
        <f t="shared" si="46"/>
        <v>18.090000000000032</v>
      </c>
      <c r="F34" s="1">
        <f t="shared" si="46"/>
        <v>18.860000000000031</v>
      </c>
      <c r="G34" s="1">
        <f t="shared" si="46"/>
        <v>19.430000000000049</v>
      </c>
      <c r="H34" s="1">
        <f t="shared" si="46"/>
        <v>21.430000000000049</v>
      </c>
      <c r="I34" s="1">
        <f t="shared" si="46"/>
        <v>24.120000000000065</v>
      </c>
      <c r="J34" s="1">
        <f t="shared" si="46"/>
        <v>28.690000000000069</v>
      </c>
      <c r="K34" s="1">
        <f t="shared" si="46"/>
        <v>30.030000000000069</v>
      </c>
      <c r="L34" s="1">
        <f t="shared" si="46"/>
        <v>30.15000000000007</v>
      </c>
      <c r="M34" s="1">
        <f t="shared" si="46"/>
        <v>30.919999999999998</v>
      </c>
      <c r="N34" s="1">
        <f t="shared" si="46"/>
        <v>32.519999999999996</v>
      </c>
      <c r="O34" s="1">
        <f t="shared" si="46"/>
        <v>34.520000000000074</v>
      </c>
      <c r="P34" s="1">
        <f>P6+P20</f>
        <v>37.020000000000081</v>
      </c>
      <c r="R34" t="s">
        <v>37</v>
      </c>
      <c r="AD34" s="1"/>
      <c r="AE34" s="1"/>
      <c r="AF34" s="1"/>
      <c r="AG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T34" s="1"/>
      <c r="AU34" s="1"/>
      <c r="AV34" s="1"/>
      <c r="AW34" s="1"/>
      <c r="AX34" s="1"/>
      <c r="AY34" s="1"/>
      <c r="BA34" s="1"/>
      <c r="BB34" s="1"/>
      <c r="BC34" s="1"/>
      <c r="BD34" s="1"/>
      <c r="BE34" s="1"/>
      <c r="BG34" s="1"/>
      <c r="BH34" s="1"/>
      <c r="BI34" s="1"/>
      <c r="BK34" s="1"/>
      <c r="BL34" s="1"/>
      <c r="BM34" s="1"/>
      <c r="BO34" s="1"/>
      <c r="BP34" s="1"/>
      <c r="BR34" s="1"/>
    </row>
    <row r="35" spans="1:70" x14ac:dyDescent="0.3">
      <c r="R35" s="1"/>
      <c r="S35" s="6" t="s">
        <v>1</v>
      </c>
      <c r="T35" s="6" t="s">
        <v>2</v>
      </c>
      <c r="U35" s="6" t="s">
        <v>4</v>
      </c>
      <c r="V35" s="6" t="s">
        <v>6</v>
      </c>
      <c r="W35" s="6" t="s">
        <v>8</v>
      </c>
      <c r="X35" s="6" t="s">
        <v>9</v>
      </c>
      <c r="Y35" s="6" t="s">
        <v>11</v>
      </c>
      <c r="Z35" s="6" t="s">
        <v>13</v>
      </c>
      <c r="AA35" s="6" t="s">
        <v>15</v>
      </c>
      <c r="AD35" s="1"/>
      <c r="AE35" s="1"/>
      <c r="AF35" s="1"/>
      <c r="AG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T35" s="1"/>
      <c r="AU35" s="1"/>
      <c r="AV35" s="1"/>
      <c r="AW35" s="1"/>
      <c r="AX35" s="1"/>
      <c r="AY35" s="1"/>
      <c r="BA35" s="1"/>
      <c r="BB35" s="1"/>
      <c r="BC35" s="1"/>
      <c r="BD35" s="1"/>
      <c r="BE35" s="1"/>
      <c r="BG35" s="1"/>
      <c r="BH35" s="1"/>
      <c r="BI35" s="1"/>
      <c r="BK35" s="1"/>
      <c r="BL35" s="1"/>
      <c r="BM35" s="1"/>
      <c r="BO35" s="1"/>
      <c r="BP35" s="1"/>
      <c r="BR35" s="1"/>
    </row>
    <row r="36" spans="1:70" x14ac:dyDescent="0.3">
      <c r="R36" s="6" t="s">
        <v>1</v>
      </c>
      <c r="S36" s="1"/>
      <c r="T36" s="1"/>
      <c r="U36" s="1">
        <f>$R$18-T2-$AA$17*(1-AD4)</f>
        <v>-58.589999999995854</v>
      </c>
      <c r="V36" s="1">
        <f t="shared" ref="V36:Z36" si="51">$R$18-U2-$AA$17*(1-AE4)</f>
        <v>-59.600000000000009</v>
      </c>
      <c r="W36" s="1">
        <f t="shared" si="51"/>
        <v>-0.12000000000000544</v>
      </c>
      <c r="X36" s="1">
        <f t="shared" si="51"/>
        <v>-2.1400000000000095</v>
      </c>
      <c r="Y36" s="1">
        <f t="shared" si="51"/>
        <v>-5.2600000000000229</v>
      </c>
      <c r="Z36" s="1">
        <f t="shared" si="51"/>
        <v>-7.7000000000000313</v>
      </c>
      <c r="AA36" s="1">
        <f>$R$18-Z2-$AA$17*(1-AJ4)</f>
        <v>-12.850000000000058</v>
      </c>
      <c r="AD36" s="1"/>
      <c r="AE36" s="1"/>
      <c r="AF36" s="1"/>
      <c r="AG36" s="1"/>
      <c r="AH36" s="1"/>
      <c r="AI36" s="1"/>
      <c r="AJ36" s="1"/>
      <c r="AL36" s="1"/>
      <c r="AM36" s="1"/>
      <c r="AN36" s="1"/>
      <c r="AO36" s="1"/>
      <c r="AP36" s="1"/>
      <c r="AQ36" s="1"/>
      <c r="AR36" s="1"/>
      <c r="AT36" s="1"/>
      <c r="AU36" s="1"/>
      <c r="AV36" s="1"/>
      <c r="AW36" s="1"/>
      <c r="AX36" s="1"/>
      <c r="AY36" s="1"/>
      <c r="BA36" s="1"/>
      <c r="BB36" s="1"/>
      <c r="BC36" s="1"/>
      <c r="BD36" s="1"/>
      <c r="BE36" s="1"/>
      <c r="BG36" s="1"/>
      <c r="BH36" s="1"/>
      <c r="BI36" s="1"/>
      <c r="BK36" s="1"/>
      <c r="BL36" s="1"/>
      <c r="BM36" s="1"/>
      <c r="BO36" s="1"/>
      <c r="BP36" s="1"/>
      <c r="BR36" s="1"/>
    </row>
    <row r="37" spans="1:70" x14ac:dyDescent="0.3">
      <c r="A37">
        <f>P34</f>
        <v>37.020000000000081</v>
      </c>
      <c r="R37" s="6" t="s">
        <v>2</v>
      </c>
      <c r="S37" s="1"/>
      <c r="T37" s="1"/>
      <c r="U37" s="1">
        <f>$S$18-T2-$AA$17*(1-AL4)</f>
        <v>-57.699999999995867</v>
      </c>
      <c r="V37" s="1">
        <f t="shared" ref="V37:AA37" si="52">$S$18-U2-$AA$17*(1-AM4)</f>
        <v>-58.710000000000022</v>
      </c>
      <c r="W37" s="1">
        <f>$S$18-V2-$AA$17*(1-AN4)</f>
        <v>-60.83000000000002</v>
      </c>
      <c r="X37" s="1">
        <f>$S$18-W2-$AA$17*(1-AO4)</f>
        <v>-1.2500000000000169</v>
      </c>
      <c r="Y37" s="1">
        <f t="shared" si="52"/>
        <v>-4.3700000000000303</v>
      </c>
      <c r="Z37" s="1">
        <f t="shared" si="52"/>
        <v>-6.8100000000000387</v>
      </c>
      <c r="AA37" s="1">
        <f t="shared" si="52"/>
        <v>-11.960000000000065</v>
      </c>
      <c r="AD37" s="1"/>
      <c r="AE37" s="1"/>
      <c r="AF37" s="1"/>
      <c r="AG37" s="1"/>
      <c r="AH37" s="1"/>
      <c r="AI37" s="1"/>
      <c r="AJ37" s="1"/>
      <c r="AL37" s="1"/>
      <c r="AM37" s="1"/>
      <c r="AN37" s="1"/>
      <c r="AO37" s="1"/>
      <c r="AP37" s="1"/>
      <c r="AQ37" s="1"/>
      <c r="AR37" s="1"/>
      <c r="AT37" s="1"/>
      <c r="AU37" s="1"/>
      <c r="AV37" s="1"/>
      <c r="AW37" s="1"/>
      <c r="AX37" s="1"/>
      <c r="AY37" s="1"/>
      <c r="BA37" s="1"/>
      <c r="BB37" s="1"/>
      <c r="BC37" s="1"/>
      <c r="BD37" s="1"/>
      <c r="BE37" s="1"/>
      <c r="BG37" s="1"/>
      <c r="BH37" s="1"/>
      <c r="BI37" s="1"/>
      <c r="BK37" s="1"/>
      <c r="BL37" s="1"/>
      <c r="BM37" s="1"/>
      <c r="BO37" s="1"/>
      <c r="BP37" s="1"/>
      <c r="BR37" s="1"/>
    </row>
    <row r="38" spans="1:70" x14ac:dyDescent="0.3">
      <c r="R38" s="6" t="s">
        <v>4</v>
      </c>
      <c r="S38" s="1"/>
      <c r="T38" s="1"/>
      <c r="U38" s="1"/>
      <c r="V38" s="1">
        <f>$T$18-U2-$AA$17*(1-AT4)</f>
        <v>-55.560000000000009</v>
      </c>
      <c r="W38" s="1">
        <f t="shared" ref="W38:AA38" si="53">$T$18-V2-$AA$17*(1-AU4)</f>
        <v>-57.680000000000007</v>
      </c>
      <c r="X38" s="1">
        <f t="shared" si="53"/>
        <v>-59.700000000000017</v>
      </c>
      <c r="Y38" s="1">
        <f t="shared" si="53"/>
        <v>-1.2200000000000184</v>
      </c>
      <c r="Z38" s="1">
        <f t="shared" si="53"/>
        <v>-3.6600000000000268</v>
      </c>
      <c r="AA38" s="1">
        <f t="shared" si="53"/>
        <v>-8.8100000000000538</v>
      </c>
      <c r="AD38" s="1"/>
      <c r="AE38" s="1"/>
      <c r="AF38" s="1"/>
      <c r="AG38" s="1"/>
      <c r="AH38" s="1"/>
      <c r="AI38" s="1"/>
      <c r="AJ38" s="1"/>
      <c r="AL38" s="1"/>
      <c r="AM38" s="1"/>
      <c r="AN38" s="1"/>
      <c r="AO38" s="1"/>
      <c r="AP38" s="1"/>
      <c r="AQ38" s="1"/>
      <c r="AR38" s="1"/>
      <c r="AT38" s="1"/>
      <c r="AU38" s="1"/>
      <c r="AV38" s="1"/>
      <c r="AW38" s="1"/>
      <c r="AX38" s="1"/>
      <c r="AY38" s="1"/>
      <c r="BA38" s="1"/>
      <c r="BB38" s="1"/>
      <c r="BC38" s="1"/>
      <c r="BD38" s="1"/>
      <c r="BE38" s="1"/>
      <c r="BG38" s="1"/>
      <c r="BH38" s="1"/>
      <c r="BI38" s="1"/>
      <c r="BK38" s="1"/>
      <c r="BL38" s="1"/>
      <c r="BM38" s="1"/>
      <c r="BO38" s="1"/>
      <c r="BP38" s="1"/>
      <c r="BR38" s="1"/>
    </row>
    <row r="39" spans="1:70" x14ac:dyDescent="0.3">
      <c r="R39" s="6" t="s">
        <v>6</v>
      </c>
      <c r="S39" s="1"/>
      <c r="T39" s="1"/>
      <c r="U39" s="1"/>
      <c r="V39" s="1"/>
      <c r="W39" s="1">
        <f>$U$18-V2-$AA$17*(1-BA4)</f>
        <v>-56.459999999999994</v>
      </c>
      <c r="X39" s="1">
        <f t="shared" ref="X39:AA39" si="54">$U$18-W2-$AA$17*(1-BB4)</f>
        <v>-58.480000000000004</v>
      </c>
      <c r="Y39" s="1">
        <f t="shared" si="54"/>
        <v>-5.3290705182007514E-15</v>
      </c>
      <c r="Z39" s="1">
        <f t="shared" si="54"/>
        <v>-2.4400000000000137</v>
      </c>
      <c r="AA39" s="1">
        <f t="shared" si="54"/>
        <v>-7.5900000000000407</v>
      </c>
      <c r="AD39" s="1"/>
      <c r="AE39" s="1"/>
      <c r="AF39" s="1"/>
      <c r="AG39" s="1"/>
      <c r="AH39" s="1"/>
      <c r="AI39" s="1"/>
      <c r="AJ39" s="1"/>
      <c r="AL39" s="1"/>
      <c r="AM39" s="1"/>
      <c r="AN39" s="1"/>
      <c r="AO39" s="1"/>
      <c r="AP39" s="1"/>
      <c r="AQ39" s="1"/>
      <c r="AR39" s="1"/>
      <c r="AT39" s="1"/>
      <c r="AU39" s="1"/>
      <c r="AV39" s="1"/>
      <c r="AW39" s="1"/>
      <c r="AX39" s="1"/>
      <c r="AY39" s="1"/>
      <c r="BA39" s="1"/>
      <c r="BB39" s="1"/>
      <c r="BC39" s="1"/>
      <c r="BD39" s="1"/>
      <c r="BE39" s="1"/>
      <c r="BG39" s="1"/>
      <c r="BH39" s="1"/>
      <c r="BI39" s="1"/>
      <c r="BK39" s="1"/>
      <c r="BL39" s="1"/>
      <c r="BM39" s="1"/>
      <c r="BO39" s="1"/>
      <c r="BP39" s="1"/>
      <c r="BR39" s="1"/>
    </row>
    <row r="40" spans="1:70" x14ac:dyDescent="0.3">
      <c r="R40" s="6" t="s">
        <v>8</v>
      </c>
      <c r="S40" s="1"/>
      <c r="T40" s="1"/>
      <c r="U40" s="1"/>
      <c r="V40" s="1"/>
      <c r="W40" s="1"/>
      <c r="X40" s="1"/>
      <c r="Y40" s="1">
        <f>$V$18-X2-$AA$17*(1-BG4)</f>
        <v>-55.590000000000025</v>
      </c>
      <c r="Z40" s="1">
        <f t="shared" ref="Z40:AA40" si="55">$V$18-Y2-$AA$17*(1-BH4)</f>
        <v>-58.03000000000003</v>
      </c>
      <c r="AA40" s="1">
        <f t="shared" si="55"/>
        <v>-1.5800000000000516</v>
      </c>
      <c r="AD40" s="1"/>
      <c r="AE40" s="1"/>
      <c r="AF40" s="1"/>
      <c r="AG40" s="1"/>
      <c r="AH40" s="1"/>
      <c r="AI40" s="1"/>
      <c r="AJ40" s="1"/>
      <c r="AL40" s="1"/>
      <c r="AM40" s="1"/>
      <c r="AN40" s="1"/>
      <c r="AO40" s="1"/>
      <c r="AP40" s="1"/>
      <c r="AQ40" s="1"/>
      <c r="AR40" s="1"/>
      <c r="AT40" s="1"/>
      <c r="AU40" s="1"/>
      <c r="AV40" s="1"/>
      <c r="AW40" s="1"/>
      <c r="AX40" s="1"/>
      <c r="AY40" s="1"/>
      <c r="BA40" s="1"/>
      <c r="BB40" s="1"/>
      <c r="BC40" s="1"/>
      <c r="BD40" s="1"/>
      <c r="BE40" s="1"/>
      <c r="BG40" s="1"/>
      <c r="BH40" s="1"/>
      <c r="BI40" s="1"/>
      <c r="BK40" s="1"/>
      <c r="BL40" s="1"/>
      <c r="BM40" s="1"/>
      <c r="BO40" s="1"/>
      <c r="BP40" s="1"/>
      <c r="BR40" s="1"/>
    </row>
    <row r="41" spans="1:70" x14ac:dyDescent="0.3">
      <c r="R41" s="6" t="s">
        <v>9</v>
      </c>
      <c r="S41" s="1"/>
      <c r="T41" s="1"/>
      <c r="U41" s="1"/>
      <c r="V41" s="1"/>
      <c r="W41" s="1"/>
      <c r="X41" s="1"/>
      <c r="Y41" s="1">
        <f>$W$18-X2-$AA$17*(1-BK4)</f>
        <v>-54.249999999999986</v>
      </c>
      <c r="Z41" s="1">
        <f>$W$18-Y2-$AA$17*(1-BL4)</f>
        <v>-56.69</v>
      </c>
      <c r="AA41" s="1">
        <f t="shared" ref="AA41" si="56">$W$18-Z2-$AA$17*(1-BM4)</f>
        <v>-0.2400000000000162</v>
      </c>
      <c r="AD41" s="1"/>
      <c r="AE41" s="1"/>
      <c r="AF41" s="1"/>
      <c r="AG41" s="1"/>
      <c r="AH41" s="1"/>
      <c r="AI41" s="1"/>
      <c r="AJ41" s="1"/>
      <c r="AL41" s="1"/>
      <c r="AM41" s="1"/>
      <c r="AN41" s="1"/>
      <c r="AO41" s="1"/>
      <c r="AP41" s="1"/>
      <c r="AQ41" s="1"/>
      <c r="AR41" s="1"/>
      <c r="AT41" s="1"/>
      <c r="AU41" s="1"/>
      <c r="AV41" s="1"/>
      <c r="AW41" s="1"/>
      <c r="AX41" s="1"/>
      <c r="AY41" s="1"/>
      <c r="BA41" s="1"/>
      <c r="BB41" s="1"/>
      <c r="BC41" s="1"/>
      <c r="BD41" s="1"/>
      <c r="BE41" s="1"/>
      <c r="BG41" s="1"/>
      <c r="BH41" s="1"/>
      <c r="BI41" s="1"/>
      <c r="BK41" s="1"/>
      <c r="BL41" s="1"/>
      <c r="BM41" s="1"/>
      <c r="BO41" s="1"/>
      <c r="BP41" s="1"/>
      <c r="BR41" s="1"/>
    </row>
    <row r="42" spans="1:70" x14ac:dyDescent="0.3">
      <c r="A42" t="s">
        <v>25</v>
      </c>
      <c r="R42" s="6" t="s">
        <v>11</v>
      </c>
      <c r="S42" s="1"/>
      <c r="T42" s="1"/>
      <c r="U42" s="1"/>
      <c r="V42" s="1"/>
      <c r="W42" s="1"/>
      <c r="X42" s="1"/>
      <c r="Y42" s="1"/>
      <c r="Z42" s="1">
        <f>$X$18-Y2-$AA$17*(1-BO4)</f>
        <v>-54.079999999999984</v>
      </c>
      <c r="AA42" s="1">
        <f>$X$18-Z2-$AA$17*(1-BP4)</f>
        <v>-59.230000000000004</v>
      </c>
      <c r="AD42" s="1"/>
      <c r="AE42" s="1"/>
      <c r="AF42" s="1"/>
      <c r="AG42" s="1"/>
      <c r="AH42" s="1"/>
      <c r="AI42" s="1"/>
      <c r="AJ42" s="1"/>
      <c r="AL42" s="1"/>
      <c r="AM42" s="1"/>
      <c r="AN42" s="1"/>
      <c r="AO42" s="1"/>
      <c r="AP42" s="1"/>
      <c r="AQ42" s="1"/>
      <c r="AR42" s="1"/>
      <c r="AT42" s="1"/>
      <c r="AU42" s="1"/>
      <c r="AV42" s="1"/>
      <c r="AW42" s="1"/>
      <c r="AX42" s="1"/>
      <c r="AY42" s="1"/>
      <c r="BA42" s="1"/>
      <c r="BB42" s="1"/>
      <c r="BC42" s="1"/>
      <c r="BD42" s="1"/>
      <c r="BE42" s="1"/>
      <c r="BG42" s="1"/>
      <c r="BH42" s="1"/>
      <c r="BI42" s="1"/>
      <c r="BK42" s="1"/>
      <c r="BL42" s="1"/>
      <c r="BM42" s="1"/>
      <c r="BO42" s="1"/>
      <c r="BP42" s="1"/>
      <c r="BR42" s="1"/>
    </row>
    <row r="43" spans="1:70" x14ac:dyDescent="0.3">
      <c r="B43" s="3" t="s">
        <v>1</v>
      </c>
      <c r="C43" s="3" t="s">
        <v>2</v>
      </c>
      <c r="D43" t="s">
        <v>3</v>
      </c>
      <c r="E43" s="3" t="s">
        <v>4</v>
      </c>
      <c r="F43" t="s">
        <v>5</v>
      </c>
      <c r="G43" s="3" t="s">
        <v>6</v>
      </c>
      <c r="H43" t="s">
        <v>7</v>
      </c>
      <c r="I43" s="3" t="s">
        <v>8</v>
      </c>
      <c r="J43" s="3" t="s">
        <v>9</v>
      </c>
      <c r="K43" t="s">
        <v>10</v>
      </c>
      <c r="L43" s="3" t="s">
        <v>11</v>
      </c>
      <c r="M43" t="s">
        <v>12</v>
      </c>
      <c r="N43" s="3" t="s">
        <v>13</v>
      </c>
      <c r="O43" t="s">
        <v>14</v>
      </c>
      <c r="P43" s="3" t="s">
        <v>15</v>
      </c>
      <c r="R43" s="6" t="s">
        <v>13</v>
      </c>
      <c r="S43" s="1"/>
      <c r="T43" s="1"/>
      <c r="U43" s="1"/>
      <c r="V43" s="1"/>
      <c r="W43" s="1"/>
      <c r="X43" s="1"/>
      <c r="Y43" s="1"/>
      <c r="Z43" s="1"/>
      <c r="AA43" s="1">
        <f>$Y$18-Z2-$AA$17*(1-BR4)</f>
        <v>-56.910000000000061</v>
      </c>
      <c r="AD43" s="1"/>
      <c r="AE43" s="1"/>
      <c r="AF43" s="1"/>
      <c r="AG43" s="1"/>
      <c r="AH43" s="1"/>
      <c r="AI43" s="1"/>
      <c r="AJ43" s="1"/>
      <c r="AL43" s="1"/>
      <c r="AM43" s="1"/>
      <c r="AN43" s="1"/>
      <c r="AO43" s="1"/>
      <c r="AP43" s="1"/>
      <c r="AQ43" s="1"/>
      <c r="AR43" s="1"/>
      <c r="AT43" s="1"/>
      <c r="AU43" s="1"/>
      <c r="AV43" s="1"/>
      <c r="AW43" s="1"/>
      <c r="AX43" s="1"/>
      <c r="AY43" s="1"/>
      <c r="BA43" s="1"/>
      <c r="BB43" s="1"/>
      <c r="BC43" s="1"/>
      <c r="BD43" s="1"/>
      <c r="BE43" s="1"/>
      <c r="BG43" s="1"/>
      <c r="BH43" s="1"/>
      <c r="BI43" s="1"/>
      <c r="BK43" s="1"/>
      <c r="BL43" s="1"/>
      <c r="BM43" s="1"/>
      <c r="BO43" s="1"/>
      <c r="BP43" s="1"/>
      <c r="BR43" s="1"/>
    </row>
    <row r="44" spans="1:70" x14ac:dyDescent="0.3">
      <c r="A44" s="1" t="s">
        <v>16</v>
      </c>
      <c r="B44" s="1"/>
      <c r="C44" s="1">
        <f>C16-B30</f>
        <v>0</v>
      </c>
      <c r="D44" s="1">
        <f t="shared" ref="D44:P47" si="57">D16-C30</f>
        <v>0</v>
      </c>
      <c r="E44" s="1">
        <f t="shared" si="57"/>
        <v>-4.1566750041965861E-12</v>
      </c>
      <c r="F44" s="1">
        <f t="shared" si="57"/>
        <v>0</v>
      </c>
      <c r="G44" s="1">
        <f t="shared" si="57"/>
        <v>0.12000000000415412</v>
      </c>
      <c r="H44" s="1">
        <f t="shared" si="57"/>
        <v>0</v>
      </c>
      <c r="I44" s="1">
        <f t="shared" si="57"/>
        <v>0</v>
      </c>
      <c r="J44" s="1">
        <f t="shared" si="57"/>
        <v>1.6000000000000183</v>
      </c>
      <c r="K44" s="1">
        <f t="shared" si="57"/>
        <v>-1.7763568394002505E-14</v>
      </c>
      <c r="L44" s="1">
        <f t="shared" si="57"/>
        <v>1.7763568394002505E-14</v>
      </c>
      <c r="M44" s="1">
        <f t="shared" si="57"/>
        <v>0</v>
      </c>
      <c r="N44" s="1">
        <f t="shared" si="57"/>
        <v>1.5500000000000096</v>
      </c>
      <c r="O44" s="1">
        <f t="shared" si="57"/>
        <v>-2.4868995751603507E-14</v>
      </c>
      <c r="P44" s="11">
        <f t="shared" si="57"/>
        <v>3.0300000000000544</v>
      </c>
      <c r="R44" s="6" t="s">
        <v>15</v>
      </c>
      <c r="S44" s="1"/>
      <c r="T44" s="1"/>
      <c r="U44" s="1"/>
      <c r="V44" s="1"/>
      <c r="W44" s="1"/>
      <c r="X44" s="1"/>
      <c r="Y44" s="1"/>
      <c r="Z44" s="1"/>
      <c r="AA44" s="1"/>
      <c r="AD44" s="1"/>
      <c r="AE44" s="1"/>
      <c r="AF44" s="1"/>
      <c r="AG44" s="1"/>
      <c r="AH44" s="1"/>
      <c r="AI44" s="1"/>
      <c r="AJ44" s="1"/>
      <c r="AL44" s="1"/>
      <c r="AM44" s="1"/>
      <c r="AN44" s="1"/>
      <c r="AO44" s="1"/>
      <c r="AP44" s="1"/>
      <c r="AQ44" s="1"/>
      <c r="AR44" s="1"/>
      <c r="AT44" s="1"/>
      <c r="AU44" s="1"/>
      <c r="AV44" s="1"/>
      <c r="AW44" s="1"/>
      <c r="AX44" s="1"/>
      <c r="AY44" s="1"/>
      <c r="BA44" s="1"/>
      <c r="BB44" s="1"/>
      <c r="BC44" s="1"/>
      <c r="BD44" s="1"/>
      <c r="BE44" s="1"/>
      <c r="BG44" s="1"/>
      <c r="BH44" s="1"/>
      <c r="BI44" s="1"/>
      <c r="BK44" s="1"/>
      <c r="BL44" s="1"/>
      <c r="BM44" s="1"/>
      <c r="BO44" s="1"/>
      <c r="BP44" s="1"/>
      <c r="BR44" s="1"/>
    </row>
    <row r="45" spans="1:70" x14ac:dyDescent="0.3">
      <c r="A45" s="8" t="s">
        <v>18</v>
      </c>
      <c r="B45" s="8"/>
      <c r="C45" s="1">
        <f>C17-B31</f>
        <v>0.11999999999999833</v>
      </c>
      <c r="D45" s="1">
        <f t="shared" si="57"/>
        <v>0</v>
      </c>
      <c r="E45" s="1">
        <f t="shared" si="57"/>
        <v>0.6599999999999957</v>
      </c>
      <c r="F45" s="1">
        <f t="shared" si="57"/>
        <v>0</v>
      </c>
      <c r="G45" s="1">
        <f t="shared" si="57"/>
        <v>-7.1054273576010019E-15</v>
      </c>
      <c r="H45" s="1">
        <f t="shared" si="57"/>
        <v>0</v>
      </c>
      <c r="I45" s="1">
        <f t="shared" si="57"/>
        <v>1.0300000000000296</v>
      </c>
      <c r="J45" s="1">
        <f t="shared" si="57"/>
        <v>1.3399999999999999</v>
      </c>
      <c r="K45" s="1">
        <f t="shared" si="57"/>
        <v>0</v>
      </c>
      <c r="L45" s="1">
        <f t="shared" si="57"/>
        <v>2.3499999999999801</v>
      </c>
      <c r="M45" s="1">
        <f t="shared" si="57"/>
        <v>0</v>
      </c>
      <c r="N45" s="1">
        <f t="shared" si="57"/>
        <v>0.45000000000001705</v>
      </c>
      <c r="O45" s="1">
        <f t="shared" si="57"/>
        <v>0</v>
      </c>
      <c r="P45" s="11">
        <f t="shared" si="57"/>
        <v>2.81000000000002</v>
      </c>
      <c r="AD45" s="1"/>
      <c r="AE45" s="1"/>
      <c r="AF45" s="1"/>
      <c r="AG45" s="1"/>
      <c r="AH45" s="1"/>
      <c r="AI45" s="1"/>
      <c r="AJ45" s="1"/>
      <c r="AL45" s="1"/>
      <c r="AM45" s="1"/>
      <c r="AN45" s="1"/>
      <c r="AO45" s="1"/>
      <c r="AP45" s="1"/>
      <c r="AQ45" s="1"/>
      <c r="AR45" s="1"/>
      <c r="AT45" s="1"/>
      <c r="AU45" s="1"/>
      <c r="AV45" s="1"/>
      <c r="AW45" s="1"/>
      <c r="AX45" s="1"/>
      <c r="AY45" s="1"/>
      <c r="BA45" s="1"/>
      <c r="BB45" s="1"/>
      <c r="BC45" s="1"/>
      <c r="BD45" s="1"/>
      <c r="BE45" s="1"/>
      <c r="BG45" s="1"/>
      <c r="BH45" s="1"/>
      <c r="BI45" s="1"/>
      <c r="BK45" s="1"/>
      <c r="BL45" s="1"/>
      <c r="BM45" s="1"/>
      <c r="BO45" s="1"/>
      <c r="BP45" s="1"/>
      <c r="BR45" s="1"/>
    </row>
    <row r="46" spans="1:70" x14ac:dyDescent="0.3">
      <c r="A46" s="1" t="s">
        <v>28</v>
      </c>
      <c r="B46" s="1"/>
      <c r="C46" s="1">
        <f t="shared" ref="C46" si="58">C18-B32</f>
        <v>0.53999999999999293</v>
      </c>
      <c r="D46" s="1">
        <f t="shared" si="57"/>
        <v>0</v>
      </c>
      <c r="E46" s="1">
        <f t="shared" si="57"/>
        <v>1.6900000000000066</v>
      </c>
      <c r="F46" s="1">
        <f t="shared" si="57"/>
        <v>1.7763568394002505E-14</v>
      </c>
      <c r="G46" s="1">
        <f t="shared" si="57"/>
        <v>0.32999999999999652</v>
      </c>
      <c r="H46" s="1">
        <f t="shared" si="57"/>
        <v>0</v>
      </c>
      <c r="I46" s="1">
        <f t="shared" si="57"/>
        <v>2.9099999999999877</v>
      </c>
      <c r="J46" s="1">
        <f t="shared" si="57"/>
        <v>0.24000000000003396</v>
      </c>
      <c r="K46" s="1">
        <f t="shared" si="57"/>
        <v>0</v>
      </c>
      <c r="L46" s="1">
        <f t="shared" si="57"/>
        <v>1.1500000000000092</v>
      </c>
      <c r="M46" s="1">
        <f t="shared" si="57"/>
        <v>-5.3290705182007514E-14</v>
      </c>
      <c r="N46" s="1">
        <f t="shared" si="57"/>
        <v>1.4299999999999997</v>
      </c>
      <c r="O46" s="1">
        <f t="shared" si="57"/>
        <v>6.0396132539608516E-14</v>
      </c>
      <c r="P46" s="11">
        <f t="shared" si="57"/>
        <v>4.0299999999999372</v>
      </c>
      <c r="AD46" s="1"/>
      <c r="AE46" s="1"/>
      <c r="AF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T46" s="1"/>
      <c r="AU46" s="1"/>
      <c r="AV46" s="1"/>
      <c r="AW46" s="1"/>
      <c r="AX46" s="1"/>
      <c r="AY46" s="1"/>
      <c r="BA46" s="1"/>
      <c r="BB46" s="1"/>
      <c r="BC46" s="1"/>
      <c r="BD46" s="1"/>
      <c r="BE46" s="1"/>
      <c r="BG46" s="1"/>
      <c r="BH46" s="1"/>
      <c r="BI46" s="1"/>
      <c r="BK46" s="1"/>
      <c r="BL46" s="1"/>
      <c r="BM46" s="1"/>
      <c r="BO46" s="1"/>
      <c r="BP46" s="1"/>
      <c r="BR46" s="1"/>
    </row>
    <row r="47" spans="1:70" x14ac:dyDescent="0.3">
      <c r="A47" s="1" t="s">
        <v>30</v>
      </c>
      <c r="B47" s="1"/>
      <c r="C47" s="1">
        <f>C19-B33</f>
        <v>1.9000000000000181</v>
      </c>
      <c r="D47" s="1">
        <f t="shared" si="57"/>
        <v>0</v>
      </c>
      <c r="E47" s="1">
        <f t="shared" si="57"/>
        <v>1.100000000000005</v>
      </c>
      <c r="F47" s="1">
        <f t="shared" si="57"/>
        <v>0</v>
      </c>
      <c r="G47" s="1">
        <f t="shared" si="57"/>
        <v>1.5800000000000072</v>
      </c>
      <c r="H47" s="1">
        <f t="shared" si="57"/>
        <v>-2.8421709430404007E-14</v>
      </c>
      <c r="I47" s="1">
        <f t="shared" si="57"/>
        <v>3.0500000000000007</v>
      </c>
      <c r="J47" s="1">
        <f t="shared" si="57"/>
        <v>0</v>
      </c>
      <c r="K47" s="1">
        <f t="shared" si="57"/>
        <v>0</v>
      </c>
      <c r="L47" s="1">
        <f t="shared" si="57"/>
        <v>1.0300000000000651</v>
      </c>
      <c r="M47" s="1">
        <f t="shared" si="57"/>
        <v>0</v>
      </c>
      <c r="N47" s="1">
        <f t="shared" si="57"/>
        <v>1.4300000000000068</v>
      </c>
      <c r="O47" s="1">
        <f t="shared" si="57"/>
        <v>0</v>
      </c>
      <c r="P47" s="11">
        <f t="shared" si="57"/>
        <v>1.710000000000008</v>
      </c>
      <c r="R47" t="s">
        <v>38</v>
      </c>
      <c r="AD47" s="1"/>
      <c r="AE47" s="1"/>
      <c r="AF47" s="1"/>
      <c r="AG47" s="1"/>
      <c r="AH47" s="1"/>
      <c r="AI47" s="1"/>
      <c r="AJ47" s="1"/>
      <c r="AL47" s="1"/>
      <c r="AM47" s="1"/>
      <c r="AN47" s="1"/>
      <c r="AO47" s="1"/>
      <c r="AP47" s="1"/>
      <c r="AQ47" s="1"/>
      <c r="AR47" s="1"/>
      <c r="AT47" s="1"/>
      <c r="AU47" s="1"/>
      <c r="AV47" s="1"/>
      <c r="AW47" s="1"/>
      <c r="AX47" s="1"/>
      <c r="AY47" s="1"/>
      <c r="BA47" s="1"/>
      <c r="BB47" s="1"/>
      <c r="BC47" s="1"/>
      <c r="BD47" s="1"/>
      <c r="BE47" s="1"/>
      <c r="BG47" s="1"/>
      <c r="BH47" s="1"/>
      <c r="BI47" s="1"/>
      <c r="BK47" s="1"/>
      <c r="BL47" s="1"/>
      <c r="BM47" s="1"/>
      <c r="BO47" s="1"/>
      <c r="BP47" s="1"/>
      <c r="BR47" s="1"/>
    </row>
    <row r="48" spans="1:70" x14ac:dyDescent="0.3">
      <c r="A48" s="1" t="s">
        <v>27</v>
      </c>
      <c r="B48" s="1"/>
      <c r="C48" s="1">
        <f>C20-B34</f>
        <v>2.5599999999999827</v>
      </c>
      <c r="D48" s="1">
        <f t="shared" ref="D48" si="59">D20-C34</f>
        <v>3.1974423109204508E-14</v>
      </c>
      <c r="E48" s="1">
        <f t="shared" ref="E48" si="60">E20-D34</f>
        <v>0</v>
      </c>
      <c r="F48" s="1">
        <f t="shared" ref="F48" si="61">F20-E34</f>
        <v>0</v>
      </c>
      <c r="G48" s="1">
        <f t="shared" ref="G48" si="62">G20-F34</f>
        <v>0.45000000000001705</v>
      </c>
      <c r="H48" s="1">
        <f t="shared" ref="H48" si="63">H20-G34</f>
        <v>0</v>
      </c>
      <c r="I48" s="1">
        <f t="shared" ref="I48" si="64">I20-H34</f>
        <v>2.6900000000000155</v>
      </c>
      <c r="J48" s="1">
        <f t="shared" ref="J48" si="65">J20-I34</f>
        <v>2.3700000000000045</v>
      </c>
      <c r="K48" s="1">
        <f t="shared" ref="K48" si="66">K20-J34</f>
        <v>0</v>
      </c>
      <c r="L48" s="1">
        <f t="shared" ref="L48" si="67">L20-K34</f>
        <v>0</v>
      </c>
      <c r="M48" s="1">
        <f t="shared" ref="M48" si="68">M20-L34</f>
        <v>-7.1054273576010019E-14</v>
      </c>
      <c r="N48" s="1">
        <f t="shared" ref="N48" si="69">N20-M34</f>
        <v>1.4800000000000004</v>
      </c>
      <c r="O48" s="1">
        <f t="shared" ref="O48" si="70">O20-N34</f>
        <v>7.815970093361102E-14</v>
      </c>
      <c r="P48" s="11">
        <f t="shared" ref="P48" si="71">P20-O34</f>
        <v>0.25000000000000711</v>
      </c>
      <c r="R48" s="1"/>
      <c r="S48" s="6" t="s">
        <v>1</v>
      </c>
      <c r="T48" s="6" t="s">
        <v>2</v>
      </c>
      <c r="U48" s="6" t="s">
        <v>4</v>
      </c>
      <c r="V48" s="6" t="s">
        <v>6</v>
      </c>
      <c r="W48" s="6" t="s">
        <v>8</v>
      </c>
      <c r="X48" s="6" t="s">
        <v>9</v>
      </c>
      <c r="Y48" s="6" t="s">
        <v>11</v>
      </c>
      <c r="Z48" s="6" t="s">
        <v>13</v>
      </c>
      <c r="AA48" s="6" t="s">
        <v>15</v>
      </c>
      <c r="AD48" s="1"/>
      <c r="AE48" s="1"/>
      <c r="AF48" s="1"/>
      <c r="AG48" s="1"/>
      <c r="AH48" s="1"/>
      <c r="AI48" s="1"/>
      <c r="AJ48" s="1"/>
      <c r="AL48" s="1"/>
      <c r="AM48" s="1"/>
      <c r="AN48" s="1"/>
      <c r="AO48" s="1"/>
      <c r="AP48" s="1"/>
      <c r="AQ48" s="1"/>
      <c r="AR48" s="1"/>
      <c r="AT48" s="1"/>
      <c r="AU48" s="1"/>
      <c r="AV48" s="1"/>
      <c r="AW48" s="1"/>
      <c r="AX48" s="1"/>
      <c r="AY48" s="1"/>
      <c r="BA48" s="1"/>
      <c r="BB48" s="1"/>
      <c r="BC48" s="1"/>
      <c r="BD48" s="1"/>
      <c r="BE48" s="1"/>
      <c r="BG48" s="1"/>
      <c r="BH48" s="1"/>
      <c r="BI48" s="1"/>
      <c r="BK48" s="1"/>
      <c r="BL48" s="1"/>
      <c r="BM48" s="1"/>
      <c r="BO48" s="1"/>
      <c r="BP48" s="1"/>
      <c r="BR48" s="1"/>
    </row>
    <row r="49" spans="1:70" x14ac:dyDescent="0.3">
      <c r="R49" s="6" t="s">
        <v>1</v>
      </c>
      <c r="S49" s="1"/>
      <c r="T49" s="1"/>
      <c r="U49" s="1">
        <f>$R$18-T3-$AA$17*(1-AD5)</f>
        <v>8.8817841970012523E-16</v>
      </c>
      <c r="V49" s="1">
        <f t="shared" ref="V49:AA49" si="72">$R$18-U3-$AA$17*(1-AE5)</f>
        <v>-0.88999999999999879</v>
      </c>
      <c r="W49" s="1">
        <f t="shared" si="72"/>
        <v>-4.0400000000000276</v>
      </c>
      <c r="X49" s="1">
        <f t="shared" si="72"/>
        <v>-5.3800000000000274</v>
      </c>
      <c r="Y49" s="1">
        <f t="shared" si="72"/>
        <v>-11.270000000000007</v>
      </c>
      <c r="Z49" s="1">
        <f t="shared" si="72"/>
        <v>-12.610000000000049</v>
      </c>
      <c r="AA49" s="1">
        <f t="shared" si="72"/>
        <v>-17.54000000000007</v>
      </c>
      <c r="AD49" s="1"/>
      <c r="AE49" s="1"/>
      <c r="AF49" s="1"/>
      <c r="AG49" s="1"/>
      <c r="AH49" s="1"/>
      <c r="AI49" s="1"/>
      <c r="AJ49" s="1"/>
      <c r="AL49" s="1"/>
      <c r="AM49" s="1"/>
      <c r="AN49" s="1"/>
      <c r="AO49" s="1"/>
      <c r="AP49" s="1"/>
      <c r="AQ49" s="1"/>
      <c r="AR49" s="1"/>
      <c r="AT49" s="1"/>
      <c r="AU49" s="1"/>
      <c r="AV49" s="1"/>
      <c r="AW49" s="1"/>
      <c r="AX49" s="1"/>
      <c r="AY49" s="1"/>
      <c r="BA49" s="1"/>
      <c r="BB49" s="1"/>
      <c r="BC49" s="1"/>
      <c r="BD49" s="1"/>
      <c r="BE49" s="1"/>
      <c r="BG49" s="1"/>
      <c r="BH49" s="1"/>
      <c r="BI49" s="1"/>
      <c r="BK49" s="1"/>
      <c r="BL49" s="1"/>
      <c r="BM49" s="1"/>
      <c r="BO49" s="1"/>
      <c r="BP49" s="1"/>
      <c r="BR49" s="1"/>
    </row>
    <row r="50" spans="1:70" x14ac:dyDescent="0.3">
      <c r="A50" t="s">
        <v>19</v>
      </c>
      <c r="R50" s="6" t="s">
        <v>2</v>
      </c>
      <c r="S50" s="1"/>
      <c r="T50" s="1"/>
      <c r="U50" s="1">
        <f>$S$18-T3-$AA$17*(1-AL5)</f>
        <v>-60.710000000000015</v>
      </c>
      <c r="V50" s="1">
        <f t="shared" ref="V50:AA50" si="73">$S$18-U3-$AA$17*(1-AM5)</f>
        <v>-6.2172489379008766E-15</v>
      </c>
      <c r="W50" s="1">
        <f t="shared" si="73"/>
        <v>-3.150000000000035</v>
      </c>
      <c r="X50" s="1">
        <f t="shared" si="73"/>
        <v>-4.4900000000000349</v>
      </c>
      <c r="Y50" s="1">
        <f t="shared" si="73"/>
        <v>-10.380000000000013</v>
      </c>
      <c r="Z50" s="1">
        <f t="shared" si="73"/>
        <v>-11.720000000000056</v>
      </c>
      <c r="AA50" s="1">
        <f t="shared" si="73"/>
        <v>-16.650000000000077</v>
      </c>
      <c r="AD50" s="1"/>
      <c r="AE50" s="1"/>
      <c r="AF50" s="1"/>
      <c r="AG50" s="1"/>
      <c r="AH50" s="1"/>
      <c r="AI50" s="1"/>
      <c r="AJ50" s="1"/>
      <c r="AL50" s="1"/>
      <c r="AM50" s="1"/>
      <c r="AN50" s="1"/>
      <c r="AO50" s="1"/>
      <c r="AP50" s="1"/>
      <c r="AQ50" s="1"/>
      <c r="AR50" s="1"/>
      <c r="AT50" s="1"/>
      <c r="AU50" s="1"/>
      <c r="AV50" s="1"/>
      <c r="AW50" s="1"/>
      <c r="AX50" s="1"/>
      <c r="AY50" s="1"/>
      <c r="BA50" s="1"/>
      <c r="BB50" s="1"/>
      <c r="BC50" s="1"/>
      <c r="BD50" s="1"/>
      <c r="BE50" s="1"/>
      <c r="BG50" s="1"/>
      <c r="BH50" s="1"/>
      <c r="BI50" s="1"/>
      <c r="BK50" s="1"/>
      <c r="BL50" s="1"/>
      <c r="BM50" s="1"/>
      <c r="BO50" s="1"/>
      <c r="BP50" s="1"/>
      <c r="BR50" s="1"/>
    </row>
    <row r="51" spans="1:70" x14ac:dyDescent="0.3">
      <c r="A51" t="s">
        <v>20</v>
      </c>
      <c r="R51" s="6" t="s">
        <v>4</v>
      </c>
      <c r="S51" s="1"/>
      <c r="T51" s="1"/>
      <c r="U51" s="1"/>
      <c r="V51" s="1">
        <f>$T$18-U3-$AA$17*(1-AT5)</f>
        <v>-58.45</v>
      </c>
      <c r="W51" s="1">
        <f t="shared" ref="W51:AA51" si="74">$T$18-V3-$AA$17*(1-AU5)</f>
        <v>-2.3092638912203256E-14</v>
      </c>
      <c r="X51" s="1">
        <f t="shared" si="74"/>
        <v>-1.340000000000023</v>
      </c>
      <c r="Y51" s="1">
        <f t="shared" si="74"/>
        <v>-7.2300000000000022</v>
      </c>
      <c r="Z51" s="1">
        <f t="shared" si="74"/>
        <v>-8.5700000000000447</v>
      </c>
      <c r="AA51" s="1">
        <f t="shared" si="74"/>
        <v>-13.500000000000066</v>
      </c>
      <c r="AD51" s="1"/>
      <c r="AE51" s="1"/>
      <c r="AF51" s="1"/>
      <c r="AG51" s="1"/>
      <c r="AH51" s="1"/>
      <c r="AI51" s="1"/>
      <c r="AJ51" s="1"/>
      <c r="AL51" s="1"/>
      <c r="AM51" s="1"/>
      <c r="AN51" s="1"/>
      <c r="AO51" s="1"/>
      <c r="AP51" s="1"/>
      <c r="AQ51" s="1"/>
      <c r="AR51" s="1"/>
      <c r="AT51" s="1"/>
      <c r="AU51" s="1"/>
      <c r="AV51" s="1"/>
      <c r="AW51" s="1"/>
      <c r="AX51" s="1"/>
      <c r="AY51" s="1"/>
      <c r="BA51" s="1"/>
      <c r="BB51" s="1"/>
      <c r="BC51" s="1"/>
      <c r="BD51" s="1"/>
      <c r="BE51" s="1"/>
      <c r="BG51" s="1"/>
      <c r="BH51" s="1"/>
      <c r="BI51" s="1"/>
      <c r="BK51" s="1"/>
      <c r="BL51" s="1"/>
      <c r="BM51" s="1"/>
      <c r="BO51" s="1"/>
      <c r="BP51" s="1"/>
      <c r="BR51" s="1"/>
    </row>
    <row r="52" spans="1:70" x14ac:dyDescent="0.3">
      <c r="A52" t="s">
        <v>23</v>
      </c>
      <c r="R52" s="6" t="s">
        <v>6</v>
      </c>
      <c r="S52" s="1"/>
      <c r="T52" s="1"/>
      <c r="U52" s="1"/>
      <c r="V52" s="1"/>
      <c r="W52" s="1">
        <f>$U$18-V3-$AA$17*(1-BA5)</f>
        <v>-60.380000000000017</v>
      </c>
      <c r="X52" s="1">
        <f t="shared" ref="X52:AA52" si="75">$U$18-W3-$AA$17*(1-BB5)</f>
        <v>-0.12000000000000988</v>
      </c>
      <c r="Y52" s="1">
        <f t="shared" si="75"/>
        <v>-6.0099999999999891</v>
      </c>
      <c r="Z52" s="1">
        <f t="shared" si="75"/>
        <v>-7.3500000000000316</v>
      </c>
      <c r="AA52" s="1">
        <f t="shared" si="75"/>
        <v>-12.280000000000053</v>
      </c>
      <c r="AD52" s="1"/>
      <c r="AE52" s="1"/>
      <c r="AF52" s="1"/>
      <c r="AG52" s="1"/>
      <c r="AH52" s="1"/>
      <c r="AI52" s="1"/>
      <c r="AJ52" s="1"/>
      <c r="AL52" s="1"/>
      <c r="AM52" s="1"/>
      <c r="AN52" s="1"/>
      <c r="AO52" s="1"/>
      <c r="AP52" s="1"/>
      <c r="AQ52" s="1"/>
      <c r="AR52" s="1"/>
      <c r="AT52" s="1"/>
      <c r="AU52" s="1"/>
      <c r="AV52" s="1"/>
      <c r="AW52" s="1"/>
      <c r="AX52" s="1"/>
      <c r="AY52" s="1"/>
      <c r="BA52" s="1"/>
      <c r="BB52" s="1"/>
      <c r="BC52" s="1"/>
      <c r="BD52" s="1"/>
      <c r="BE52" s="1"/>
      <c r="BG52" s="1"/>
      <c r="BH52" s="1"/>
      <c r="BI52" s="1"/>
      <c r="BK52" s="1"/>
      <c r="BL52" s="1"/>
      <c r="BM52" s="1"/>
      <c r="BO52" s="1"/>
      <c r="BP52" s="1"/>
      <c r="BR52" s="1"/>
    </row>
    <row r="53" spans="1:70" x14ac:dyDescent="0.3">
      <c r="A53" t="s">
        <v>24</v>
      </c>
      <c r="R53" s="6" t="s">
        <v>8</v>
      </c>
      <c r="S53" s="1"/>
      <c r="T53" s="1"/>
      <c r="U53" s="1"/>
      <c r="V53" s="1"/>
      <c r="W53" s="1"/>
      <c r="X53" s="1"/>
      <c r="Y53" s="1">
        <f>$V$18-X3-$AA$17*(1-BG5)</f>
        <v>0</v>
      </c>
      <c r="Z53" s="1">
        <f t="shared" ref="Z53:AA53" si="76">$V$18-Y3-$AA$17*(1-BH5)</f>
        <v>-1.3400000000000425</v>
      </c>
      <c r="AA53" s="1">
        <f t="shared" si="76"/>
        <v>-6.2700000000000635</v>
      </c>
      <c r="AD53" s="1"/>
      <c r="AE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R53" s="1"/>
      <c r="AT53" s="1"/>
      <c r="AU53" s="1"/>
      <c r="AV53" s="1"/>
      <c r="AW53" s="1"/>
      <c r="AX53" s="1"/>
      <c r="AY53" s="1"/>
      <c r="BA53" s="1"/>
      <c r="BB53" s="1"/>
      <c r="BC53" s="1"/>
      <c r="BD53" s="1"/>
      <c r="BE53" s="1"/>
      <c r="BG53" s="1"/>
      <c r="BH53" s="1"/>
      <c r="BI53" s="1"/>
      <c r="BK53" s="1"/>
      <c r="BL53" s="1"/>
      <c r="BM53" s="1"/>
      <c r="BO53" s="1"/>
      <c r="BP53" s="1"/>
      <c r="BR53" s="1"/>
    </row>
    <row r="54" spans="1:70" x14ac:dyDescent="0.3">
      <c r="R54" s="6" t="s">
        <v>9</v>
      </c>
      <c r="S54" s="1"/>
      <c r="T54" s="1"/>
      <c r="U54" s="1"/>
      <c r="V54" s="1"/>
      <c r="W54" s="1"/>
      <c r="X54" s="1"/>
      <c r="Y54" s="1">
        <f>$W$18-X3-$AA$17*(1-BK5)</f>
        <v>-60.259999999999977</v>
      </c>
      <c r="Z54" s="1">
        <f t="shared" ref="Z54:AA54" si="77">$W$18-Y3-$AA$17*(1-BL5)</f>
        <v>-7.1054273576010019E-15</v>
      </c>
      <c r="AA54" s="1">
        <f t="shared" si="77"/>
        <v>-4.9300000000000281</v>
      </c>
      <c r="AD54" s="1"/>
      <c r="AE54" s="1"/>
      <c r="AF54" s="1"/>
      <c r="AG54" s="1"/>
      <c r="AH54" s="1"/>
      <c r="AI54" s="1"/>
      <c r="AJ54" s="1"/>
      <c r="AL54" s="1"/>
      <c r="AM54" s="1"/>
      <c r="AN54" s="1"/>
      <c r="AO54" s="1"/>
      <c r="AP54" s="1"/>
      <c r="AQ54" s="1"/>
      <c r="AR54" s="1"/>
      <c r="AT54" s="1"/>
      <c r="AU54" s="1"/>
      <c r="AV54" s="1"/>
      <c r="AW54" s="1"/>
      <c r="AX54" s="1"/>
      <c r="AY54" s="1"/>
      <c r="BA54" s="1"/>
      <c r="BB54" s="1"/>
      <c r="BC54" s="1"/>
      <c r="BD54" s="1"/>
      <c r="BE54" s="1"/>
      <c r="BG54" s="1"/>
      <c r="BH54" s="1"/>
      <c r="BI54" s="1"/>
      <c r="BK54" s="1"/>
      <c r="BL54" s="1"/>
      <c r="BM54" s="1"/>
      <c r="BO54" s="1"/>
      <c r="BP54" s="1"/>
      <c r="BR54" s="1"/>
    </row>
    <row r="55" spans="1:70" x14ac:dyDescent="0.3">
      <c r="R55" s="6" t="s">
        <v>11</v>
      </c>
      <c r="S55" s="1"/>
      <c r="T55" s="1"/>
      <c r="U55" s="1"/>
      <c r="V55" s="1"/>
      <c r="W55" s="1"/>
      <c r="X55" s="1"/>
      <c r="Y55" s="1"/>
      <c r="Z55" s="1">
        <f>$X$18-Y3-$AA$17*(1-BO5)</f>
        <v>-58.989999999999995</v>
      </c>
      <c r="AA55" s="1">
        <f>$X$18-Z3-$AA$17*(1-BP5)</f>
        <v>-2.3200000000000109</v>
      </c>
      <c r="AD55" s="1"/>
      <c r="AE55" s="1"/>
      <c r="AF55" s="1"/>
      <c r="AG55" s="1"/>
      <c r="AH55" s="1"/>
      <c r="AI55" s="1"/>
      <c r="AJ55" s="1"/>
      <c r="AL55" s="1"/>
      <c r="AM55" s="1"/>
      <c r="AN55" s="1"/>
      <c r="AO55" s="1"/>
      <c r="AP55" s="1"/>
      <c r="AQ55" s="1"/>
      <c r="AR55" s="1"/>
      <c r="AT55" s="1"/>
      <c r="AU55" s="1"/>
      <c r="AV55" s="1"/>
      <c r="AW55" s="1"/>
      <c r="AX55" s="1"/>
      <c r="AY55" s="1"/>
      <c r="BA55" s="1"/>
      <c r="BB55" s="1"/>
      <c r="BC55" s="1"/>
      <c r="BD55" s="1"/>
      <c r="BE55" s="1"/>
      <c r="BG55" s="1"/>
      <c r="BH55" s="1"/>
      <c r="BI55" s="1"/>
      <c r="BK55" s="1"/>
      <c r="BL55" s="1"/>
      <c r="BM55" s="1"/>
      <c r="BO55" s="1"/>
      <c r="BP55" s="1"/>
      <c r="BR55" s="1"/>
    </row>
    <row r="56" spans="1:70" x14ac:dyDescent="0.3">
      <c r="A56" t="s">
        <v>25</v>
      </c>
      <c r="R56" s="6" t="s">
        <v>13</v>
      </c>
      <c r="S56" s="1"/>
      <c r="T56" s="1"/>
      <c r="U56" s="1"/>
      <c r="V56" s="1"/>
      <c r="W56" s="1"/>
      <c r="X56" s="1"/>
      <c r="Y56" s="1"/>
      <c r="Z56" s="1"/>
      <c r="AA56" s="1">
        <f>$Y$18-Z3-$AA$17*(1-BR5)</f>
        <v>-6.3948846218409017E-14</v>
      </c>
      <c r="AD56" s="1"/>
      <c r="AE56" s="1"/>
      <c r="AF56" s="1"/>
      <c r="AG56" s="1"/>
      <c r="AH56" s="1"/>
      <c r="AI56" s="1"/>
      <c r="AJ56" s="1"/>
      <c r="AL56" s="1"/>
      <c r="AM56" s="1"/>
      <c r="AN56" s="1"/>
      <c r="AO56" s="1"/>
      <c r="AP56" s="1"/>
      <c r="AQ56" s="1"/>
      <c r="AR56" s="1"/>
      <c r="AT56" s="1"/>
      <c r="AU56" s="1"/>
      <c r="AV56" s="1"/>
      <c r="AW56" s="1"/>
      <c r="AX56" s="1"/>
      <c r="AY56" s="1"/>
      <c r="BA56" s="1"/>
      <c r="BB56" s="1"/>
      <c r="BC56" s="1"/>
      <c r="BD56" s="1"/>
      <c r="BE56" s="1"/>
      <c r="BG56" s="1"/>
      <c r="BH56" s="1"/>
      <c r="BI56" s="1"/>
      <c r="BK56" s="1"/>
      <c r="BL56" s="1"/>
      <c r="BM56" s="1"/>
      <c r="BO56" s="1"/>
      <c r="BP56" s="1"/>
      <c r="BR56" s="1"/>
    </row>
    <row r="57" spans="1:70" x14ac:dyDescent="0.3">
      <c r="B57" s="3" t="s">
        <v>1</v>
      </c>
      <c r="C57" s="3" t="s">
        <v>2</v>
      </c>
      <c r="D57" t="s">
        <v>3</v>
      </c>
      <c r="E57" s="3" t="s">
        <v>4</v>
      </c>
      <c r="F57" t="s">
        <v>5</v>
      </c>
      <c r="G57" s="3" t="s">
        <v>6</v>
      </c>
      <c r="H57" t="s">
        <v>7</v>
      </c>
      <c r="I57" s="3" t="s">
        <v>8</v>
      </c>
      <c r="J57" s="3" t="s">
        <v>9</v>
      </c>
      <c r="K57" t="s">
        <v>10</v>
      </c>
      <c r="L57" s="3" t="s">
        <v>11</v>
      </c>
      <c r="M57" t="s">
        <v>12</v>
      </c>
      <c r="N57" s="3" t="s">
        <v>13</v>
      </c>
      <c r="O57" t="s">
        <v>14</v>
      </c>
      <c r="P57" s="3" t="s">
        <v>15</v>
      </c>
      <c r="R57" s="6" t="s">
        <v>15</v>
      </c>
      <c r="S57" s="1"/>
      <c r="T57" s="1"/>
      <c r="U57" s="1"/>
      <c r="V57" s="1"/>
      <c r="W57" s="1"/>
      <c r="X57" s="1"/>
      <c r="Y57" s="1"/>
      <c r="Z57" s="1"/>
      <c r="AA57" s="1"/>
      <c r="AD57" s="1"/>
      <c r="AE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R57" s="1"/>
      <c r="AT57" s="1"/>
      <c r="AU57" s="1"/>
      <c r="AV57" s="1"/>
      <c r="AW57" s="1"/>
      <c r="AX57" s="1"/>
      <c r="AY57" s="1"/>
      <c r="BA57" s="1"/>
      <c r="BB57" s="1"/>
      <c r="BC57" s="1"/>
      <c r="BD57" s="1"/>
      <c r="BE57" s="1"/>
      <c r="BG57" s="1"/>
      <c r="BH57" s="1"/>
      <c r="BI57" s="1"/>
      <c r="BK57" s="1"/>
      <c r="BL57" s="1"/>
      <c r="BM57" s="1"/>
      <c r="BO57" s="1"/>
      <c r="BP57" s="1"/>
      <c r="BR57" s="1"/>
    </row>
    <row r="58" spans="1:70" x14ac:dyDescent="0.3">
      <c r="A58" s="1" t="s">
        <v>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1"/>
      <c r="AD58" s="1"/>
      <c r="AE58" s="1"/>
      <c r="AF58" s="1"/>
      <c r="AG58" s="1"/>
      <c r="AH58" s="1"/>
      <c r="AI58" s="1"/>
      <c r="AJ58" s="1"/>
      <c r="AL58" s="1"/>
      <c r="AM58" s="1"/>
      <c r="AN58" s="1"/>
      <c r="AO58" s="1"/>
      <c r="AP58" s="1"/>
      <c r="AQ58" s="1"/>
      <c r="AR58" s="1"/>
      <c r="AT58" s="1"/>
      <c r="AU58" s="1"/>
      <c r="AV58" s="1"/>
      <c r="AW58" s="1"/>
      <c r="AX58" s="1"/>
      <c r="AY58" s="1"/>
      <c r="BA58" s="1"/>
      <c r="BB58" s="1"/>
      <c r="BC58" s="1"/>
      <c r="BD58" s="1"/>
      <c r="BE58" s="1"/>
      <c r="BG58" s="1"/>
      <c r="BH58" s="1"/>
      <c r="BI58" s="1"/>
      <c r="BK58" s="1"/>
      <c r="BL58" s="1"/>
      <c r="BM58" s="1"/>
      <c r="BO58" s="1"/>
      <c r="BP58" s="1"/>
      <c r="BR58" s="1"/>
    </row>
    <row r="59" spans="1:70" x14ac:dyDescent="0.3">
      <c r="A59" s="1" t="s">
        <v>18</v>
      </c>
      <c r="B59" s="1">
        <f>B17-C30</f>
        <v>0</v>
      </c>
      <c r="C59" s="1">
        <f t="shared" ref="C59:P62" si="78">C17-C30</f>
        <v>1.4599999999958482</v>
      </c>
      <c r="D59" s="1">
        <f t="shared" si="78"/>
        <v>1.009999999999998</v>
      </c>
      <c r="E59" s="1">
        <f t="shared" si="78"/>
        <v>2.8900000000041501</v>
      </c>
      <c r="F59" s="1">
        <f t="shared" si="78"/>
        <v>2.240000000004156</v>
      </c>
      <c r="G59" s="1">
        <f t="shared" si="78"/>
        <v>2.7699999999999951</v>
      </c>
      <c r="H59" s="1">
        <f t="shared" si="78"/>
        <v>0.88999999999999346</v>
      </c>
      <c r="I59" s="1">
        <f>I17-J30</f>
        <v>0.12000000000000455</v>
      </c>
      <c r="J59" s="1">
        <f t="shared" si="78"/>
        <v>1.4600000000000044</v>
      </c>
      <c r="K59" s="1">
        <f t="shared" si="78"/>
        <v>2.3200000000000216</v>
      </c>
      <c r="L59" s="1">
        <f t="shared" si="78"/>
        <v>5.8899999999999846</v>
      </c>
      <c r="M59" s="1">
        <f t="shared" si="78"/>
        <v>5.2400000000000109</v>
      </c>
      <c r="N59" s="1">
        <f t="shared" si="78"/>
        <v>4.7900000000000187</v>
      </c>
      <c r="O59" s="1">
        <f t="shared" si="78"/>
        <v>2.9100000000000463</v>
      </c>
      <c r="P59" s="11">
        <f t="shared" si="78"/>
        <v>2.4400000000000119</v>
      </c>
      <c r="AD59" s="1"/>
      <c r="AE59" s="1"/>
      <c r="AF59" s="1"/>
      <c r="AG59" s="1"/>
      <c r="AH59" s="1"/>
      <c r="AI59" s="1"/>
      <c r="AJ59" s="1"/>
      <c r="AL59" s="1"/>
      <c r="AM59" s="1"/>
      <c r="AN59" s="1"/>
      <c r="AO59" s="1"/>
      <c r="AP59" s="1"/>
      <c r="AQ59" s="1"/>
      <c r="AR59" s="1"/>
      <c r="AT59" s="1"/>
      <c r="AU59" s="1"/>
      <c r="AV59" s="1"/>
      <c r="AW59" s="1"/>
      <c r="AX59" s="1"/>
      <c r="AY59" s="1"/>
      <c r="BA59" s="1"/>
      <c r="BB59" s="1"/>
      <c r="BC59" s="1"/>
      <c r="BD59" s="1"/>
      <c r="BE59" s="1"/>
      <c r="BG59" s="1"/>
      <c r="BH59" s="1"/>
      <c r="BI59" s="1"/>
      <c r="BK59" s="1"/>
      <c r="BL59" s="1"/>
      <c r="BM59" s="1"/>
      <c r="BO59" s="1"/>
      <c r="BP59" s="1"/>
      <c r="BR59" s="1"/>
    </row>
    <row r="60" spans="1:70" x14ac:dyDescent="0.3">
      <c r="A60" s="1" t="s">
        <v>28</v>
      </c>
      <c r="B60" s="1">
        <f t="shared" ref="B60:B61" si="79">B18-C31</f>
        <v>0.12000000000000188</v>
      </c>
      <c r="C60" s="1">
        <f t="shared" si="78"/>
        <v>2.5399999999999894</v>
      </c>
      <c r="D60" s="1">
        <f t="shared" si="78"/>
        <v>1.5499999999999954</v>
      </c>
      <c r="E60" s="1">
        <f t="shared" si="78"/>
        <v>3.800000000000006</v>
      </c>
      <c r="F60" s="1">
        <f t="shared" si="78"/>
        <v>3.1500000000000163</v>
      </c>
      <c r="G60" s="1">
        <f t="shared" si="78"/>
        <v>4.1300000000000194</v>
      </c>
      <c r="H60" s="1">
        <f t="shared" si="78"/>
        <v>2.2500000000000195</v>
      </c>
      <c r="I60" s="1">
        <f t="shared" ref="I60:I61" si="80">I18-J31</f>
        <v>2.5899999999999785</v>
      </c>
      <c r="J60" s="1">
        <f t="shared" si="78"/>
        <v>3.9300000000000139</v>
      </c>
      <c r="K60" s="1">
        <f t="shared" si="78"/>
        <v>3.6900000000000226</v>
      </c>
      <c r="L60" s="1">
        <f t="shared" si="78"/>
        <v>3.7100000000000506</v>
      </c>
      <c r="M60" s="1">
        <f t="shared" si="78"/>
        <v>3.0599999999999739</v>
      </c>
      <c r="N60" s="1">
        <f t="shared" si="78"/>
        <v>4.6899999999999551</v>
      </c>
      <c r="O60" s="1">
        <f t="shared" si="78"/>
        <v>2.8100000000000165</v>
      </c>
      <c r="P60" s="11">
        <f t="shared" si="78"/>
        <v>3.7799999999999336</v>
      </c>
      <c r="R60" t="s">
        <v>48</v>
      </c>
      <c r="AD60" s="1"/>
      <c r="AE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R60" s="1"/>
      <c r="AT60" s="1"/>
      <c r="AU60" s="1"/>
      <c r="AV60" s="1"/>
      <c r="AW60" s="1"/>
      <c r="AX60" s="1"/>
      <c r="AY60" s="1"/>
      <c r="BA60" s="1"/>
      <c r="BB60" s="1"/>
      <c r="BC60" s="1"/>
      <c r="BD60" s="1"/>
      <c r="BE60" s="1"/>
      <c r="BG60" s="1"/>
      <c r="BH60" s="1"/>
      <c r="BI60" s="1"/>
      <c r="BK60" s="1"/>
      <c r="BL60" s="1"/>
      <c r="BM60" s="1"/>
      <c r="BO60" s="1"/>
      <c r="BP60" s="1"/>
      <c r="BR60" s="1"/>
    </row>
    <row r="61" spans="1:70" x14ac:dyDescent="0.3">
      <c r="A61" s="1" t="s">
        <v>53</v>
      </c>
      <c r="B61" s="1">
        <f t="shared" si="79"/>
        <v>0.12000000000001076</v>
      </c>
      <c r="C61" s="1">
        <f t="shared" si="78"/>
        <v>3.1500000000000385</v>
      </c>
      <c r="D61" s="1">
        <f t="shared" si="78"/>
        <v>2.9100000000000232</v>
      </c>
      <c r="E61" s="1">
        <f t="shared" si="78"/>
        <v>3.5400000000000222</v>
      </c>
      <c r="F61" s="1">
        <f t="shared" si="78"/>
        <v>2.8900000000000041</v>
      </c>
      <c r="G61" s="1">
        <f t="shared" si="78"/>
        <v>4.7900000000000151</v>
      </c>
      <c r="H61" s="1">
        <f t="shared" si="78"/>
        <v>2.9099999999999877</v>
      </c>
      <c r="I61" s="1">
        <f t="shared" si="80"/>
        <v>2.6099999999999639</v>
      </c>
      <c r="J61" s="1">
        <f t="shared" si="78"/>
        <v>2.6099999999999639</v>
      </c>
      <c r="K61" s="1">
        <f t="shared" si="78"/>
        <v>3.4699999999999562</v>
      </c>
      <c r="L61" s="1">
        <f t="shared" si="78"/>
        <v>4.5700000000000109</v>
      </c>
      <c r="M61" s="1">
        <f t="shared" si="78"/>
        <v>3.9200000000000657</v>
      </c>
      <c r="N61" s="1">
        <f t="shared" si="78"/>
        <v>4.5700000000000713</v>
      </c>
      <c r="O61" s="1">
        <f t="shared" si="78"/>
        <v>2.6900000000000119</v>
      </c>
      <c r="P61" s="11">
        <f>P19-P32</f>
        <v>0.12000000000008271</v>
      </c>
      <c r="R61" s="1"/>
      <c r="S61" s="6" t="s">
        <v>1</v>
      </c>
      <c r="T61" s="6" t="s">
        <v>2</v>
      </c>
      <c r="U61" s="6" t="s">
        <v>4</v>
      </c>
      <c r="V61" s="6" t="s">
        <v>6</v>
      </c>
      <c r="W61" s="6" t="s">
        <v>8</v>
      </c>
      <c r="X61" s="6" t="s">
        <v>9</v>
      </c>
      <c r="Y61" s="6" t="s">
        <v>11</v>
      </c>
      <c r="Z61" s="6" t="s">
        <v>13</v>
      </c>
      <c r="AA61" s="6" t="s">
        <v>15</v>
      </c>
      <c r="AD61" s="1"/>
      <c r="AE61" s="1"/>
      <c r="AF61" s="1"/>
      <c r="AG61" s="1"/>
      <c r="AH61" s="1"/>
      <c r="AI61" s="1"/>
      <c r="AJ61" s="1"/>
      <c r="AL61" s="1"/>
      <c r="AM61" s="1"/>
      <c r="AN61" s="1"/>
      <c r="AO61" s="1"/>
      <c r="AP61" s="1"/>
      <c r="AQ61" s="1"/>
      <c r="AR61" s="1"/>
      <c r="AT61" s="1"/>
      <c r="AU61" s="1"/>
      <c r="AV61" s="1"/>
      <c r="AW61" s="1"/>
      <c r="AX61" s="1"/>
      <c r="AY61" s="1"/>
      <c r="BA61" s="1"/>
      <c r="BB61" s="1"/>
      <c r="BC61" s="1"/>
      <c r="BD61" s="1"/>
      <c r="BE61" s="1"/>
      <c r="BG61" s="1"/>
      <c r="BH61" s="1"/>
      <c r="BI61" s="1"/>
      <c r="BK61" s="1"/>
      <c r="BL61" s="1"/>
      <c r="BM61" s="1"/>
      <c r="BO61" s="1"/>
      <c r="BP61" s="1"/>
      <c r="BR61" s="1"/>
    </row>
    <row r="62" spans="1:70" x14ac:dyDescent="0.3">
      <c r="A62" s="1" t="s">
        <v>63</v>
      </c>
      <c r="B62" s="1">
        <f t="shared" ref="B62" si="81">B20-C33</f>
        <v>0.11999999999999211</v>
      </c>
      <c r="C62" s="1">
        <f t="shared" si="78"/>
        <v>2.6799999999999748</v>
      </c>
      <c r="D62" s="1">
        <f t="shared" si="78"/>
        <v>3.5700000000000145</v>
      </c>
      <c r="E62" s="1">
        <f t="shared" si="78"/>
        <v>3.6900000000000102</v>
      </c>
      <c r="F62" s="1">
        <f t="shared" si="78"/>
        <v>3.0400000000000116</v>
      </c>
      <c r="G62" s="1">
        <f t="shared" si="78"/>
        <v>2.56000000000002</v>
      </c>
      <c r="H62" s="1">
        <f t="shared" si="78"/>
        <v>0.68000000000004945</v>
      </c>
      <c r="I62" s="1">
        <f t="shared" ref="I62" si="82">I20-J33</f>
        <v>0.12000000000006494</v>
      </c>
      <c r="J62" s="1">
        <f t="shared" si="78"/>
        <v>2.4900000000000695</v>
      </c>
      <c r="K62" s="1">
        <f t="shared" si="78"/>
        <v>3.3500000000000689</v>
      </c>
      <c r="L62" s="1">
        <f t="shared" si="78"/>
        <v>3.5400000000000027</v>
      </c>
      <c r="M62" s="1">
        <f t="shared" si="78"/>
        <v>2.8899999999999331</v>
      </c>
      <c r="N62" s="1">
        <f t="shared" si="78"/>
        <v>3.5899999999999253</v>
      </c>
      <c r="O62" s="1">
        <f t="shared" si="78"/>
        <v>1.7100000000000009</v>
      </c>
      <c r="P62" s="11">
        <f>P20-P33</f>
        <v>0</v>
      </c>
      <c r="R62" s="6" t="s">
        <v>1</v>
      </c>
      <c r="S62" s="1"/>
      <c r="T62" s="1"/>
      <c r="U62" s="1">
        <f>T16-$R$3-$AA$17*(1-AD6)</f>
        <v>-60.140000000004164</v>
      </c>
      <c r="V62" s="1">
        <f>U16-$R$3-$AA$17*(1-AE6)</f>
        <v>-59.13000000000001</v>
      </c>
      <c r="W62" s="1">
        <f t="shared" ref="W62:AA62" si="83">V16-$R$3-$AA$17*(1-AF6)</f>
        <v>-56.710000000000022</v>
      </c>
      <c r="X62" s="1">
        <f t="shared" si="83"/>
        <v>-53.329999999999991</v>
      </c>
      <c r="Y62" s="1">
        <f t="shared" si="83"/>
        <v>-51.86999999999999</v>
      </c>
      <c r="Z62" s="1">
        <f t="shared" si="83"/>
        <v>-49.429999999999986</v>
      </c>
      <c r="AA62" s="1">
        <f t="shared" si="83"/>
        <v>-42.149999999999956</v>
      </c>
      <c r="AD62" s="6"/>
      <c r="AE62" s="6"/>
      <c r="AF62" s="6"/>
      <c r="AG62" s="6"/>
      <c r="AH62" s="6"/>
      <c r="AI62" s="6"/>
      <c r="AJ62" s="6"/>
      <c r="AK62" s="3"/>
      <c r="AL62" s="6"/>
      <c r="AM62" s="6"/>
      <c r="AN62" s="6"/>
      <c r="AO62" s="6"/>
      <c r="AP62" s="6"/>
      <c r="AQ62" s="6"/>
      <c r="AR62" s="6"/>
      <c r="AS62" s="3"/>
      <c r="AT62" s="6"/>
      <c r="AU62" s="6"/>
      <c r="AV62" s="6"/>
      <c r="AW62" s="6"/>
      <c r="AX62" s="6"/>
      <c r="AY62" s="6"/>
      <c r="AZ62" s="3"/>
      <c r="BA62" s="6"/>
      <c r="BB62" s="6"/>
      <c r="BC62" s="6"/>
      <c r="BD62" s="6"/>
      <c r="BE62" s="6"/>
      <c r="BF62" s="3"/>
      <c r="BG62" s="6"/>
      <c r="BH62" s="6"/>
      <c r="BI62" s="6"/>
      <c r="BJ62" s="3"/>
      <c r="BK62" s="6"/>
      <c r="BL62" s="6"/>
      <c r="BM62" s="6"/>
      <c r="BN62" s="3"/>
      <c r="BO62" s="6"/>
      <c r="BP62" s="6"/>
      <c r="BQ62" s="3"/>
      <c r="BR62" s="6"/>
    </row>
    <row r="63" spans="1:70" x14ac:dyDescent="0.3">
      <c r="R63" s="6" t="s">
        <v>2</v>
      </c>
      <c r="S63" s="1"/>
      <c r="T63" s="1"/>
      <c r="U63" s="1">
        <f>T16-$S$3-$AA$17*(1-AL6)</f>
        <v>-4.4408920985006262E-15</v>
      </c>
      <c r="V63" s="1">
        <f t="shared" ref="V63:AA63" si="84">U16-$S$3-$AA$17*(1-AM6)</f>
        <v>-60.589999999995861</v>
      </c>
      <c r="W63" s="1">
        <f t="shared" si="84"/>
        <v>-58.169999999995873</v>
      </c>
      <c r="X63" s="1">
        <f t="shared" si="84"/>
        <v>-54.789999999995842</v>
      </c>
      <c r="Y63" s="1">
        <f t="shared" si="84"/>
        <v>-53.329999999995842</v>
      </c>
      <c r="Z63" s="1">
        <f t="shared" si="84"/>
        <v>-50.88999999999583</v>
      </c>
      <c r="AA63" s="1">
        <f t="shared" si="84"/>
        <v>-43.609999999995807</v>
      </c>
      <c r="AD63" s="1"/>
      <c r="AE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R63" s="1"/>
      <c r="AT63" s="1"/>
      <c r="AU63" s="1"/>
      <c r="AV63" s="1"/>
      <c r="AW63" s="1"/>
      <c r="AX63" s="1"/>
      <c r="AY63" s="1"/>
      <c r="BA63" s="1"/>
      <c r="BB63" s="1"/>
      <c r="BC63" s="1"/>
      <c r="BD63" s="1"/>
      <c r="BE63" s="1"/>
      <c r="BG63" s="1"/>
      <c r="BH63" s="1"/>
      <c r="BI63" s="1"/>
      <c r="BK63" s="1"/>
      <c r="BL63" s="1"/>
      <c r="BM63" s="1"/>
      <c r="BO63" s="1"/>
      <c r="BP63" s="1"/>
      <c r="BR63" s="1"/>
    </row>
    <row r="64" spans="1:70" x14ac:dyDescent="0.3">
      <c r="A64" t="s">
        <v>19</v>
      </c>
      <c r="R64" s="6" t="s">
        <v>4</v>
      </c>
      <c r="S64" s="1"/>
      <c r="T64" s="1"/>
      <c r="U64" s="1"/>
      <c r="V64" s="1">
        <f>U16-$T$3-$AA$17*(1-AT6)</f>
        <v>-1.8799999999999955</v>
      </c>
      <c r="W64" s="1">
        <f t="shared" ref="W64:AA64" si="85">V16-$T$3-$AA$17*(1-AU6)</f>
        <v>-61.060000000000016</v>
      </c>
      <c r="X64" s="1">
        <f t="shared" si="85"/>
        <v>-57.679999999999986</v>
      </c>
      <c r="Y64" s="1">
        <f t="shared" si="85"/>
        <v>-56.219999999999985</v>
      </c>
      <c r="Z64" s="1">
        <f t="shared" si="85"/>
        <v>-53.77999999999998</v>
      </c>
      <c r="AA64" s="1">
        <f t="shared" si="85"/>
        <v>-46.49999999999995</v>
      </c>
      <c r="AD64" s="1"/>
      <c r="AE64" s="1"/>
      <c r="AF64" s="1"/>
      <c r="AG64" s="1"/>
      <c r="AH64" s="1"/>
      <c r="AI64" s="1"/>
      <c r="AJ64" s="1"/>
      <c r="AL64" s="1"/>
      <c r="AM64" s="1"/>
      <c r="AN64" s="1"/>
      <c r="AO64" s="1"/>
      <c r="AP64" s="1"/>
      <c r="AQ64" s="1"/>
      <c r="AR64" s="1"/>
      <c r="AT64" s="1"/>
      <c r="AU64" s="1"/>
      <c r="AV64" s="1"/>
      <c r="AW64" s="1"/>
      <c r="AX64" s="1"/>
      <c r="AY64" s="1"/>
      <c r="BA64" s="1"/>
      <c r="BB64" s="1"/>
      <c r="BC64" s="1"/>
      <c r="BD64" s="1"/>
      <c r="BE64" s="1"/>
      <c r="BG64" s="1"/>
      <c r="BH64" s="1"/>
      <c r="BI64" s="1"/>
      <c r="BK64" s="1"/>
      <c r="BL64" s="1"/>
      <c r="BM64" s="1"/>
      <c r="BO64" s="1"/>
      <c r="BP64" s="1"/>
      <c r="BR64" s="1"/>
    </row>
    <row r="65" spans="1:70" x14ac:dyDescent="0.3">
      <c r="A65" t="s">
        <v>20</v>
      </c>
      <c r="R65" s="6" t="s">
        <v>6</v>
      </c>
      <c r="S65" s="1"/>
      <c r="T65" s="1"/>
      <c r="U65" s="1"/>
      <c r="V65" s="1"/>
      <c r="W65" s="1">
        <f>V16-$U$3-$AA$17*(1-BA6)</f>
        <v>-0.35000000000000764</v>
      </c>
      <c r="X65" s="1">
        <f t="shared" ref="X65:AA65" si="86">W16-$U$3-$AA$17*(1-BB6)</f>
        <v>-58.569999999999986</v>
      </c>
      <c r="Y65" s="1">
        <f t="shared" si="86"/>
        <v>-57.109999999999985</v>
      </c>
      <c r="Z65" s="1">
        <f t="shared" si="86"/>
        <v>-54.669999999999973</v>
      </c>
      <c r="AA65" s="1">
        <f t="shared" si="86"/>
        <v>-47.389999999999951</v>
      </c>
      <c r="AD65" s="1"/>
      <c r="AE65" s="1"/>
      <c r="AF65" s="1"/>
      <c r="AG65" s="1"/>
      <c r="AH65" s="1"/>
      <c r="AI65" s="1"/>
      <c r="AJ65" s="1"/>
      <c r="AL65" s="1"/>
      <c r="AM65" s="1"/>
      <c r="AN65" s="1"/>
      <c r="AO65" s="1"/>
      <c r="AP65" s="1"/>
      <c r="AQ65" s="1"/>
      <c r="AR65" s="1"/>
      <c r="AT65" s="1"/>
      <c r="AU65" s="1"/>
      <c r="AV65" s="1"/>
      <c r="AW65" s="1"/>
      <c r="AX65" s="1"/>
      <c r="AY65" s="1"/>
      <c r="BA65" s="1"/>
      <c r="BB65" s="1"/>
      <c r="BC65" s="1"/>
      <c r="BD65" s="1"/>
      <c r="BE65" s="1"/>
      <c r="BG65" s="1"/>
      <c r="BH65" s="1"/>
      <c r="BI65" s="1"/>
      <c r="BK65" s="1"/>
      <c r="BL65" s="1"/>
      <c r="BM65" s="1"/>
      <c r="BO65" s="1"/>
      <c r="BP65" s="1"/>
      <c r="BR65" s="1"/>
    </row>
    <row r="66" spans="1:70" x14ac:dyDescent="0.3">
      <c r="A66" t="s">
        <v>23</v>
      </c>
      <c r="R66" s="6" t="s">
        <v>8</v>
      </c>
      <c r="S66" s="1"/>
      <c r="T66" s="1"/>
      <c r="U66" s="1"/>
      <c r="V66" s="1"/>
      <c r="W66" s="1"/>
      <c r="X66" s="1"/>
      <c r="Y66" s="1">
        <f>X16-$V$3-$AA$17*(1-BG6)</f>
        <v>-60.260000000000012</v>
      </c>
      <c r="Z66" s="1">
        <f t="shared" ref="Z66" si="87">Y16-$V$3-$AA$17*(1-BH6)</f>
        <v>-57.820000000000007</v>
      </c>
      <c r="AA66" s="1">
        <f>Z16-$V$3-$AA$17*(1-BI6)</f>
        <v>-50.539999999999978</v>
      </c>
      <c r="AD66" s="1"/>
      <c r="AE66" s="1"/>
      <c r="AF66" s="1"/>
      <c r="AG66" s="1"/>
      <c r="AH66" s="1"/>
      <c r="AI66" s="1"/>
      <c r="AJ66" s="1"/>
      <c r="AL66" s="1"/>
      <c r="AM66" s="1"/>
      <c r="AN66" s="1"/>
      <c r="AO66" s="1"/>
      <c r="AP66" s="1"/>
      <c r="AQ66" s="1"/>
      <c r="AR66" s="1"/>
      <c r="AT66" s="1"/>
      <c r="AU66" s="1"/>
      <c r="AV66" s="1"/>
      <c r="AW66" s="1"/>
      <c r="AX66" s="1"/>
      <c r="AY66" s="1"/>
      <c r="BA66" s="1"/>
      <c r="BB66" s="1"/>
      <c r="BC66" s="1"/>
      <c r="BD66" s="1"/>
      <c r="BE66" s="1"/>
      <c r="BG66" s="1"/>
      <c r="BH66" s="1"/>
      <c r="BI66" s="1"/>
      <c r="BK66" s="1"/>
      <c r="BL66" s="1"/>
      <c r="BM66" s="1"/>
      <c r="BO66" s="1"/>
      <c r="BP66" s="1"/>
      <c r="BR66" s="1"/>
    </row>
    <row r="67" spans="1:70" x14ac:dyDescent="0.3">
      <c r="A67" t="s">
        <v>24</v>
      </c>
      <c r="R67" s="6" t="s">
        <v>9</v>
      </c>
      <c r="S67" s="1"/>
      <c r="T67" s="1"/>
      <c r="U67" s="1"/>
      <c r="V67" s="1"/>
      <c r="W67" s="1"/>
      <c r="X67" s="1"/>
      <c r="Y67" s="1">
        <f>X16-$W$3-$AA$17*(1-BK6)</f>
        <v>-5.3290705182007514E-15</v>
      </c>
      <c r="Z67" s="1">
        <f t="shared" ref="Z67:AA67" si="88">Y16-$W$3-$AA$17*(1-BL6)</f>
        <v>-59.160000000000004</v>
      </c>
      <c r="AA67" s="1">
        <f t="shared" si="88"/>
        <v>-51.879999999999981</v>
      </c>
      <c r="AD67" s="1"/>
      <c r="AE67" s="1"/>
      <c r="AF67" s="1"/>
      <c r="AG67" s="1"/>
      <c r="AH67" s="1"/>
      <c r="AI67" s="1"/>
      <c r="AJ67" s="1"/>
      <c r="AL67" s="1"/>
      <c r="AM67" s="1"/>
      <c r="AN67" s="1"/>
      <c r="AO67" s="1"/>
      <c r="AP67" s="1"/>
      <c r="AQ67" s="1"/>
      <c r="AR67" s="1"/>
      <c r="AT67" s="1"/>
      <c r="AU67" s="1"/>
      <c r="AV67" s="1"/>
      <c r="AW67" s="1"/>
      <c r="AX67" s="1"/>
      <c r="AY67" s="1"/>
      <c r="BA67" s="1"/>
      <c r="BB67" s="1"/>
      <c r="BC67" s="1"/>
      <c r="BD67" s="1"/>
      <c r="BE67" s="1"/>
      <c r="BG67" s="1"/>
      <c r="BH67" s="1"/>
      <c r="BI67" s="1"/>
      <c r="BK67" s="1"/>
      <c r="BL67" s="1"/>
      <c r="BM67" s="1"/>
      <c r="BO67" s="1"/>
      <c r="BP67" s="1"/>
      <c r="BR67" s="1"/>
    </row>
    <row r="68" spans="1:70" x14ac:dyDescent="0.3">
      <c r="R68" s="6" t="s">
        <v>11</v>
      </c>
      <c r="S68" s="1"/>
      <c r="T68" s="1"/>
      <c r="U68" s="1"/>
      <c r="V68" s="1"/>
      <c r="W68" s="1"/>
      <c r="X68" s="1"/>
      <c r="Y68" s="1"/>
      <c r="Z68" s="1">
        <f>Y16-$X$3-$AA$17*(1-BO6)</f>
        <v>-3.4499999999999762</v>
      </c>
      <c r="AA68" s="1">
        <f>Z16-$X$3-$AA$17*(1-BP6)</f>
        <v>-57.769999999999953</v>
      </c>
      <c r="AD68" s="1"/>
      <c r="AE68" s="1"/>
      <c r="AF68" s="1"/>
      <c r="AG68" s="1"/>
      <c r="AH68" s="1"/>
      <c r="AI68" s="1"/>
      <c r="AJ68" s="1"/>
      <c r="AL68" s="1"/>
      <c r="AM68" s="1"/>
      <c r="AN68" s="1"/>
      <c r="AO68" s="1"/>
      <c r="AP68" s="1"/>
      <c r="AQ68" s="1"/>
      <c r="AR68" s="1"/>
      <c r="AT68" s="1"/>
      <c r="AU68" s="1"/>
      <c r="AV68" s="1"/>
      <c r="AW68" s="1"/>
      <c r="AX68" s="1"/>
      <c r="AY68" s="1"/>
      <c r="BA68" s="1"/>
      <c r="BB68" s="1"/>
      <c r="BC68" s="1"/>
      <c r="BD68" s="1"/>
      <c r="BE68" s="1"/>
      <c r="BG68" s="1"/>
      <c r="BH68" s="1"/>
      <c r="BI68" s="1"/>
      <c r="BK68" s="1"/>
      <c r="BL68" s="1"/>
      <c r="BM68" s="1"/>
      <c r="BO68" s="1"/>
      <c r="BP68" s="1"/>
      <c r="BR68" s="1"/>
    </row>
    <row r="69" spans="1:70" x14ac:dyDescent="0.3">
      <c r="R69" s="6" t="s">
        <v>13</v>
      </c>
      <c r="S69" s="1"/>
      <c r="T69" s="1"/>
      <c r="U69" s="1"/>
      <c r="V69" s="1"/>
      <c r="W69" s="1"/>
      <c r="X69" s="1"/>
      <c r="Y69" s="1"/>
      <c r="Z69" s="1"/>
      <c r="AA69" s="1">
        <f>Z16-$Y$3-$AA$17*(1-BR6)</f>
        <v>-59.11</v>
      </c>
      <c r="AD69" s="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R69" s="1"/>
      <c r="AT69" s="1"/>
      <c r="AU69" s="1"/>
      <c r="AV69" s="1"/>
      <c r="AW69" s="1"/>
      <c r="AX69" s="1"/>
      <c r="AY69" s="1"/>
      <c r="BA69" s="1"/>
      <c r="BB69" s="1"/>
      <c r="BC69" s="1"/>
      <c r="BD69" s="1"/>
      <c r="BE69" s="1"/>
      <c r="BG69" s="1"/>
      <c r="BH69" s="1"/>
      <c r="BI69" s="1"/>
      <c r="BK69" s="1"/>
      <c r="BL69" s="1"/>
      <c r="BM69" s="1"/>
      <c r="BO69" s="1"/>
      <c r="BP69" s="1"/>
      <c r="BR69" s="1"/>
    </row>
    <row r="70" spans="1:70" x14ac:dyDescent="0.3">
      <c r="R70" s="6" t="s">
        <v>15</v>
      </c>
      <c r="S70" s="1"/>
      <c r="T70" s="1"/>
      <c r="U70" s="1"/>
      <c r="V70" s="1"/>
      <c r="W70" s="1"/>
      <c r="X70" s="1"/>
      <c r="Y70" s="1"/>
      <c r="Z70" s="1"/>
      <c r="AA70" s="1"/>
      <c r="AD70" s="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R70" s="1"/>
      <c r="AT70" s="1"/>
      <c r="AU70" s="1"/>
      <c r="AV70" s="1"/>
      <c r="AW70" s="1"/>
      <c r="AX70" s="1"/>
      <c r="AY70" s="1"/>
      <c r="BA70" s="1"/>
      <c r="BB70" s="1"/>
      <c r="BC70" s="1"/>
      <c r="BD70" s="1"/>
      <c r="BE70" s="1"/>
      <c r="BG70" s="1"/>
      <c r="BH70" s="1"/>
      <c r="BI70" s="1"/>
      <c r="BK70" s="1"/>
      <c r="BL70" s="1"/>
      <c r="BM70" s="1"/>
      <c r="BO70" s="1"/>
      <c r="BP70" s="1"/>
      <c r="BR70" s="1"/>
    </row>
    <row r="71" spans="1:70" x14ac:dyDescent="0.3">
      <c r="AD71" s="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R71" s="1"/>
      <c r="AT71" s="1"/>
      <c r="AU71" s="1"/>
      <c r="AV71" s="1"/>
      <c r="AW71" s="1"/>
      <c r="AX71" s="1"/>
      <c r="AY71" s="1"/>
      <c r="BA71" s="1"/>
      <c r="BB71" s="1"/>
      <c r="BC71" s="1"/>
      <c r="BD71" s="1"/>
      <c r="BE71" s="1"/>
      <c r="BG71" s="1"/>
      <c r="BH71" s="1"/>
      <c r="BI71" s="1"/>
      <c r="BK71" s="1"/>
      <c r="BL71" s="1"/>
      <c r="BM71" s="1"/>
      <c r="BO71" s="1"/>
      <c r="BP71" s="1"/>
      <c r="BR71" s="1"/>
    </row>
    <row r="72" spans="1:70" x14ac:dyDescent="0.3">
      <c r="AD72" s="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R72" s="1"/>
      <c r="AT72" s="1"/>
      <c r="AU72" s="1"/>
      <c r="AV72" s="1"/>
      <c r="AW72" s="1"/>
      <c r="AX72" s="1"/>
      <c r="AY72" s="1"/>
      <c r="BA72" s="1"/>
      <c r="BB72" s="1"/>
      <c r="BC72" s="1"/>
      <c r="BD72" s="1"/>
      <c r="BE72" s="1"/>
      <c r="BG72" s="1"/>
      <c r="BH72" s="1"/>
      <c r="BI72" s="1"/>
      <c r="BK72" s="1"/>
      <c r="BL72" s="1"/>
      <c r="BM72" s="1"/>
      <c r="BO72" s="1"/>
      <c r="BP72" s="1"/>
      <c r="BR72" s="1"/>
    </row>
    <row r="73" spans="1:70" x14ac:dyDescent="0.3">
      <c r="A73" t="s">
        <v>73</v>
      </c>
      <c r="R73" t="s">
        <v>35</v>
      </c>
      <c r="AD73" s="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R73" s="1"/>
      <c r="AT73" s="1"/>
      <c r="AU73" s="1"/>
      <c r="AV73" s="1"/>
      <c r="AW73" s="1"/>
      <c r="AX73" s="1"/>
      <c r="AY73" s="1"/>
      <c r="BA73" s="1"/>
      <c r="BB73" s="1"/>
      <c r="BC73" s="1"/>
      <c r="BD73" s="1"/>
      <c r="BE73" s="1"/>
      <c r="BG73" s="1"/>
      <c r="BH73" s="1"/>
      <c r="BI73" s="1"/>
      <c r="BK73" s="1"/>
      <c r="BL73" s="1"/>
      <c r="BM73" s="1"/>
      <c r="BO73" s="1"/>
      <c r="BP73" s="1"/>
      <c r="BR73" s="1"/>
    </row>
    <row r="74" spans="1:70" x14ac:dyDescent="0.3">
      <c r="A74" s="1"/>
      <c r="B74" s="6" t="s">
        <v>1</v>
      </c>
      <c r="C74" s="6" t="s">
        <v>2</v>
      </c>
      <c r="D74" s="6" t="s">
        <v>4</v>
      </c>
      <c r="E74" s="6" t="s">
        <v>6</v>
      </c>
      <c r="F74" s="6" t="s">
        <v>8</v>
      </c>
      <c r="G74" s="6" t="s">
        <v>9</v>
      </c>
      <c r="H74" s="6" t="s">
        <v>11</v>
      </c>
      <c r="I74" s="6" t="s">
        <v>13</v>
      </c>
      <c r="J74" s="6" t="s">
        <v>15</v>
      </c>
      <c r="R74" s="1"/>
      <c r="S74" s="6" t="s">
        <v>1</v>
      </c>
      <c r="T74" s="6" t="s">
        <v>2</v>
      </c>
      <c r="U74" s="6" t="s">
        <v>4</v>
      </c>
      <c r="V74" s="6" t="s">
        <v>6</v>
      </c>
      <c r="W74" s="6" t="s">
        <v>8</v>
      </c>
      <c r="X74" s="6" t="s">
        <v>9</v>
      </c>
      <c r="Y74" s="6" t="s">
        <v>11</v>
      </c>
      <c r="Z74" s="6" t="s">
        <v>13</v>
      </c>
      <c r="AA74" s="6" t="s">
        <v>15</v>
      </c>
      <c r="AD74" s="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R74" s="1"/>
      <c r="AT74" s="1"/>
      <c r="AU74" s="1"/>
      <c r="AV74" s="1"/>
      <c r="AW74" s="1"/>
      <c r="AX74" s="1"/>
      <c r="AY74" s="1"/>
      <c r="BA74" s="1"/>
      <c r="BB74" s="1"/>
      <c r="BC74" s="1"/>
      <c r="BD74" s="1"/>
      <c r="BE74" s="1"/>
      <c r="BG74" s="1"/>
      <c r="BH74" s="1"/>
      <c r="BI74" s="1"/>
      <c r="BK74" s="1"/>
      <c r="BL74" s="1"/>
      <c r="BM74" s="1"/>
      <c r="BO74" s="1"/>
      <c r="BP74" s="1"/>
      <c r="BR74" s="1"/>
    </row>
    <row r="75" spans="1:70" x14ac:dyDescent="0.3">
      <c r="A75" s="6" t="s">
        <v>1</v>
      </c>
      <c r="B75" s="1"/>
      <c r="C75" s="1"/>
      <c r="D75" s="13">
        <f>$R$20-T2-$AA$17*(1-AD15)</f>
        <v>-53.329999999995835</v>
      </c>
      <c r="E75" s="13">
        <f t="shared" ref="E75:I75" si="89">$R$20-U2-$AA$17*(1-AE15)</f>
        <v>-54.339999999999989</v>
      </c>
      <c r="F75" s="13">
        <f t="shared" si="89"/>
        <v>-56.459999999999994</v>
      </c>
      <c r="G75" s="13">
        <f t="shared" si="89"/>
        <v>-58.48</v>
      </c>
      <c r="H75" s="13">
        <f t="shared" si="89"/>
        <v>0</v>
      </c>
      <c r="I75" s="13">
        <f t="shared" si="89"/>
        <v>-2.4400000000000084</v>
      </c>
      <c r="J75" s="13">
        <f>$R$20-Z2-$AA$17*(1-AJ15)</f>
        <v>-7.5900000000000354</v>
      </c>
      <c r="R75" s="6" t="s">
        <v>1</v>
      </c>
      <c r="S75" s="1"/>
      <c r="T75" s="1"/>
      <c r="U75" s="1">
        <f>T16-$R$4-$AA$17*(1-AD7)</f>
        <v>-1.0100000000041565</v>
      </c>
      <c r="V75" s="1">
        <f t="shared" ref="V75:AA75" si="90">U16-$R$4-$AA$17*(1-AE7)</f>
        <v>-1.7763568394002505E-15</v>
      </c>
      <c r="W75" s="1">
        <f>V16-$R$4-$AA$17*(1-AF7)</f>
        <v>-59.180000000000021</v>
      </c>
      <c r="X75" s="1">
        <f t="shared" si="90"/>
        <v>-55.79999999999999</v>
      </c>
      <c r="Y75" s="1">
        <f t="shared" si="90"/>
        <v>-54.339999999999989</v>
      </c>
      <c r="Z75" s="1">
        <f t="shared" si="90"/>
        <v>-51.899999999999984</v>
      </c>
      <c r="AA75" s="1">
        <f t="shared" si="90"/>
        <v>-44.619999999999955</v>
      </c>
      <c r="AD75" s="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R75" s="1"/>
      <c r="AT75" s="1"/>
      <c r="AU75" s="1"/>
      <c r="AV75" s="1"/>
      <c r="AW75" s="1"/>
      <c r="AX75" s="1"/>
      <c r="AY75" s="1"/>
      <c r="BA75" s="1"/>
      <c r="BB75" s="1"/>
      <c r="BC75" s="1"/>
      <c r="BD75" s="1"/>
      <c r="BE75" s="1"/>
      <c r="BG75" s="1"/>
      <c r="BH75" s="1"/>
      <c r="BI75" s="1"/>
      <c r="BK75" s="1"/>
      <c r="BL75" s="1"/>
      <c r="BM75" s="1"/>
      <c r="BO75" s="1"/>
      <c r="BP75" s="1"/>
      <c r="BR75" s="1"/>
    </row>
    <row r="76" spans="1:70" x14ac:dyDescent="0.3">
      <c r="A76" s="6" t="s">
        <v>2</v>
      </c>
      <c r="B76" s="1"/>
      <c r="C76" s="1"/>
      <c r="D76" s="13">
        <f>$S$20-T2-$AA$17*(1-AL15)</f>
        <v>-48.539999999995857</v>
      </c>
      <c r="E76" s="13">
        <f t="shared" ref="E76:I76" si="91">$S$20-U2-$AA$17*(1-AM15)</f>
        <v>-49.550000000000011</v>
      </c>
      <c r="F76" s="13">
        <f t="shared" si="91"/>
        <v>-51.670000000000009</v>
      </c>
      <c r="G76" s="13">
        <f t="shared" si="91"/>
        <v>-53.690000000000012</v>
      </c>
      <c r="H76" s="13">
        <f t="shared" si="91"/>
        <v>-56.810000000000031</v>
      </c>
      <c r="I76" s="13">
        <f t="shared" si="91"/>
        <v>-59.250000000000036</v>
      </c>
      <c r="J76" s="13">
        <f>$S$20-Z2-$AA$17*(1-AR15)</f>
        <v>-2.800000000000054</v>
      </c>
      <c r="R76" s="6" t="s">
        <v>2</v>
      </c>
      <c r="S76" s="1"/>
      <c r="T76" s="1"/>
      <c r="U76" s="1">
        <f>T16-$S$4-$AA$17*(1-AL7)</f>
        <v>-3.430000000004144</v>
      </c>
      <c r="V76" s="1">
        <f t="shared" ref="V76:AA76" si="92">U16-$S$4-$AA$17*(1-AM7)</f>
        <v>-2.4199999999999893</v>
      </c>
      <c r="W76" s="1">
        <f t="shared" si="92"/>
        <v>-1.7763568394002505E-15</v>
      </c>
      <c r="X76" s="1">
        <f>W16-$S$4-$AA$17*(1-AO7)</f>
        <v>-58.219999999999978</v>
      </c>
      <c r="Y76" s="1">
        <f t="shared" si="92"/>
        <v>-56.759999999999977</v>
      </c>
      <c r="Z76" s="1">
        <f t="shared" si="92"/>
        <v>-54.319999999999972</v>
      </c>
      <c r="AA76" s="1">
        <f t="shared" si="92"/>
        <v>-47.039999999999942</v>
      </c>
      <c r="AD76" s="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R76" s="1"/>
      <c r="AT76" s="1"/>
      <c r="AU76" s="1"/>
      <c r="AV76" s="1"/>
      <c r="AW76" s="1"/>
      <c r="AX76" s="1"/>
      <c r="AY76" s="1"/>
      <c r="BA76" s="1"/>
      <c r="BB76" s="1"/>
      <c r="BC76" s="1"/>
      <c r="BD76" s="1"/>
      <c r="BE76" s="1"/>
      <c r="BG76" s="1"/>
      <c r="BH76" s="1"/>
      <c r="BI76" s="1"/>
      <c r="BK76" s="1"/>
      <c r="BL76" s="1"/>
      <c r="BM76" s="1"/>
      <c r="BO76" s="1"/>
      <c r="BP76" s="1"/>
      <c r="BR76" s="1"/>
    </row>
    <row r="77" spans="1:70" x14ac:dyDescent="0.3">
      <c r="A77" s="6" t="s">
        <v>4</v>
      </c>
      <c r="B77" s="1"/>
      <c r="C77" s="1"/>
      <c r="D77" s="1"/>
      <c r="E77" s="13">
        <f>$T$20-U2-$AA$17*(1-AT15)</f>
        <v>-48.089999999999975</v>
      </c>
      <c r="F77" s="13">
        <f t="shared" ref="F77:J77" si="93">$T$20-V2-$AA$17*(1-AU15)</f>
        <v>-50.20999999999998</v>
      </c>
      <c r="G77" s="13">
        <f t="shared" si="93"/>
        <v>-52.229999999999983</v>
      </c>
      <c r="H77" s="13">
        <f t="shared" si="93"/>
        <v>-55.349999999999994</v>
      </c>
      <c r="I77" s="13">
        <f t="shared" si="93"/>
        <v>-57.790000000000006</v>
      </c>
      <c r="J77" s="13">
        <f t="shared" si="93"/>
        <v>-1.3400000000000212</v>
      </c>
      <c r="R77" s="6" t="s">
        <v>4</v>
      </c>
      <c r="S77" s="1"/>
      <c r="T77" s="1"/>
      <c r="U77" s="1"/>
      <c r="V77" s="1">
        <f>U16-$T$4-$AA$17*(1-AT7)</f>
        <v>-5.8000000000000016</v>
      </c>
      <c r="W77" s="1">
        <f t="shared" ref="W77:AA77" si="94">V16-$T$4-$AA$17*(1-AU7)</f>
        <v>-3.3800000000000141</v>
      </c>
      <c r="X77" s="1">
        <f t="shared" si="94"/>
        <v>1.7763568394002505E-14</v>
      </c>
      <c r="Y77" s="1">
        <f t="shared" si="94"/>
        <v>-60.139999999999993</v>
      </c>
      <c r="Z77" s="1">
        <f t="shared" si="94"/>
        <v>-57.699999999999982</v>
      </c>
      <c r="AA77" s="1">
        <f t="shared" si="94"/>
        <v>-50.419999999999959</v>
      </c>
      <c r="AD77" s="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R77" s="1"/>
      <c r="AT77" s="1"/>
      <c r="AU77" s="1"/>
      <c r="AV77" s="1"/>
      <c r="AW77" s="1"/>
      <c r="AX77" s="1"/>
      <c r="AY77" s="1"/>
      <c r="BA77" s="1"/>
      <c r="BB77" s="1"/>
      <c r="BC77" s="1"/>
      <c r="BD77" s="1"/>
      <c r="BE77" s="1"/>
      <c r="BG77" s="1"/>
      <c r="BH77" s="1"/>
      <c r="BI77" s="1"/>
      <c r="BK77" s="1"/>
      <c r="BL77" s="1"/>
      <c r="BM77" s="1"/>
      <c r="BO77" s="1"/>
      <c r="BP77" s="1"/>
      <c r="BR77" s="1"/>
    </row>
    <row r="78" spans="1:70" x14ac:dyDescent="0.3">
      <c r="A78" s="6" t="s">
        <v>6</v>
      </c>
      <c r="B78" s="1"/>
      <c r="C78" s="1"/>
      <c r="D78" s="1"/>
      <c r="E78" s="1"/>
      <c r="F78" s="13">
        <f>$U$20-V2-$AA$17*(1-BA15)</f>
        <v>-48.869999999999962</v>
      </c>
      <c r="G78" s="13">
        <f t="shared" ref="G78:J78" si="95">$U$20-W2-$AA$17*(1-BB15)</f>
        <v>-50.889999999999965</v>
      </c>
      <c r="H78" s="13">
        <f t="shared" si="95"/>
        <v>-54.009999999999977</v>
      </c>
      <c r="I78" s="13">
        <f t="shared" si="95"/>
        <v>-56.449999999999989</v>
      </c>
      <c r="J78" s="13">
        <f t="shared" si="95"/>
        <v>-3.5527136788005009E-15</v>
      </c>
      <c r="R78" s="6" t="s">
        <v>6</v>
      </c>
      <c r="S78" s="1"/>
      <c r="T78" s="1"/>
      <c r="U78" s="1"/>
      <c r="V78" s="1"/>
      <c r="W78" s="1">
        <f>V16-$U$4-$AA$17*(1-BA7)</f>
        <v>-4.6000000000000272</v>
      </c>
      <c r="X78" s="1">
        <f t="shared" ref="X78:AA78" si="96">W16-$U$4-$AA$17*(1-BB7)</f>
        <v>-1.2199999999999953</v>
      </c>
      <c r="Y78" s="1">
        <f t="shared" si="96"/>
        <v>-61.360000000000007</v>
      </c>
      <c r="Z78" s="1">
        <f t="shared" si="96"/>
        <v>-58.919999999999995</v>
      </c>
      <c r="AA78" s="1">
        <f t="shared" si="96"/>
        <v>-51.639999999999972</v>
      </c>
      <c r="AD78" s="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R78" s="1"/>
      <c r="AT78" s="1"/>
      <c r="AU78" s="1"/>
      <c r="AV78" s="1"/>
      <c r="AW78" s="1"/>
      <c r="AX78" s="1"/>
      <c r="AY78" s="1"/>
      <c r="BA78" s="1"/>
      <c r="BB78" s="1"/>
      <c r="BC78" s="1"/>
      <c r="BD78" s="1"/>
      <c r="BE78" s="1"/>
      <c r="BG78" s="1"/>
      <c r="BH78" s="1"/>
      <c r="BI78" s="1"/>
      <c r="BK78" s="1"/>
      <c r="BL78" s="1"/>
      <c r="BM78" s="1"/>
      <c r="BO78" s="1"/>
      <c r="BP78" s="1"/>
      <c r="BR78" s="1"/>
    </row>
    <row r="79" spans="1:70" x14ac:dyDescent="0.3">
      <c r="A79" s="6" t="s">
        <v>8</v>
      </c>
      <c r="B79" s="1"/>
      <c r="C79" s="1"/>
      <c r="D79" s="1"/>
      <c r="E79" s="1"/>
      <c r="F79" s="1"/>
      <c r="G79" s="1"/>
      <c r="H79" s="13">
        <f>$V$20-X2-$AA$17*(1-BG15)</f>
        <v>-49.319999999999965</v>
      </c>
      <c r="I79" s="13">
        <f t="shared" ref="I79:J79" si="97">$V$20-Y2-$AA$17*(1-BH15)</f>
        <v>-51.75999999999997</v>
      </c>
      <c r="J79" s="13">
        <f t="shared" si="97"/>
        <v>-56.91</v>
      </c>
      <c r="R79" s="6" t="s">
        <v>8</v>
      </c>
      <c r="S79" s="1"/>
      <c r="T79" s="1"/>
      <c r="U79" s="1"/>
      <c r="V79" s="1"/>
      <c r="W79" s="1"/>
      <c r="X79" s="1"/>
      <c r="Y79" s="1">
        <f>X16-$V$4-$AA$17*(1-BG7)</f>
        <v>-4.7899999999999832</v>
      </c>
      <c r="Z79" s="1">
        <f t="shared" ref="Z79:AA79" si="98">Y16-$V$4-$AA$17*(1-BH7)</f>
        <v>-2.3499999999999748</v>
      </c>
      <c r="AA79" s="1">
        <f t="shared" si="98"/>
        <v>-56.669999999999959</v>
      </c>
      <c r="AD79" s="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R79" s="1"/>
      <c r="AT79" s="1"/>
      <c r="AU79" s="1"/>
      <c r="AV79" s="1"/>
      <c r="AW79" s="1"/>
      <c r="AX79" s="1"/>
      <c r="AY79" s="1"/>
      <c r="BA79" s="1"/>
      <c r="BB79" s="1"/>
      <c r="BC79" s="1"/>
      <c r="BD79" s="1"/>
      <c r="BE79" s="1"/>
      <c r="BG79" s="1"/>
      <c r="BH79" s="1"/>
      <c r="BI79" s="1"/>
      <c r="BK79" s="1"/>
      <c r="BL79" s="1"/>
      <c r="BM79" s="1"/>
      <c r="BO79" s="1"/>
      <c r="BP79" s="1"/>
      <c r="BR79" s="1"/>
    </row>
    <row r="80" spans="1:70" x14ac:dyDescent="0.3">
      <c r="A80" s="6" t="s">
        <v>9</v>
      </c>
      <c r="B80" s="1"/>
      <c r="C80" s="1"/>
      <c r="D80" s="1"/>
      <c r="E80" s="1"/>
      <c r="F80" s="1"/>
      <c r="G80" s="1"/>
      <c r="H80" s="13">
        <f>$W$20-X2-$AA$17*(1-BK15)</f>
        <v>-44.749999999999957</v>
      </c>
      <c r="I80" s="13">
        <f t="shared" ref="I80:J80" si="99">$W$20-Y2-$AA$17*(1-BL15)</f>
        <v>-47.189999999999969</v>
      </c>
      <c r="J80" s="13">
        <f t="shared" si="99"/>
        <v>-52.339999999999989</v>
      </c>
      <c r="R80" s="6" t="s">
        <v>9</v>
      </c>
      <c r="S80" s="1"/>
      <c r="T80" s="1"/>
      <c r="U80" s="1"/>
      <c r="V80" s="1"/>
      <c r="W80" s="1"/>
      <c r="X80" s="1"/>
      <c r="Y80" s="1">
        <f>X16-$W$4-$AA$17*(1-BK7)</f>
        <v>-6.1300000000000185</v>
      </c>
      <c r="Z80" s="1">
        <f t="shared" ref="Z80:AA80" si="100">Y16-$W$4-$AA$17*(1-BL7)</f>
        <v>-3.6900000000000102</v>
      </c>
      <c r="AA80" s="1">
        <f t="shared" si="100"/>
        <v>-58.009999999999991</v>
      </c>
      <c r="AD80" s="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R80" s="1"/>
      <c r="AT80" s="1"/>
      <c r="AU80" s="1"/>
      <c r="AV80" s="1"/>
      <c r="AW80" s="1"/>
      <c r="AX80" s="1"/>
      <c r="AY80" s="1"/>
      <c r="BA80" s="1"/>
      <c r="BB80" s="1"/>
      <c r="BC80" s="1"/>
      <c r="BD80" s="1"/>
      <c r="BE80" s="1"/>
      <c r="BG80" s="1"/>
      <c r="BH80" s="1"/>
      <c r="BI80" s="1"/>
      <c r="BK80" s="1"/>
      <c r="BL80" s="1"/>
      <c r="BM80" s="1"/>
      <c r="BO80" s="1"/>
      <c r="BP80" s="1"/>
      <c r="BR80" s="1"/>
    </row>
    <row r="81" spans="1:70" x14ac:dyDescent="0.3">
      <c r="A81" s="6" t="s">
        <v>11</v>
      </c>
      <c r="B81" s="1"/>
      <c r="C81" s="1"/>
      <c r="D81" s="1"/>
      <c r="E81" s="1"/>
      <c r="F81" s="1"/>
      <c r="G81" s="1"/>
      <c r="H81" s="1"/>
      <c r="I81" s="13">
        <f>$X$20-Y2-$AA$17*(1-BO15)</f>
        <v>-45.729999999999961</v>
      </c>
      <c r="J81" s="13">
        <f>$X$20-Z2-$AA$17*(1-BP15)</f>
        <v>-50.879999999999995</v>
      </c>
      <c r="R81" s="6" t="s">
        <v>11</v>
      </c>
      <c r="S81" s="1"/>
      <c r="T81" s="1"/>
      <c r="U81" s="1"/>
      <c r="V81" s="1"/>
      <c r="W81" s="1"/>
      <c r="X81" s="1"/>
      <c r="Y81" s="1"/>
      <c r="Z81" s="1">
        <f>Y16-$X$4-$AA$17*(1-BO7)</f>
        <v>-7.2800000000000278</v>
      </c>
      <c r="AA81" s="1">
        <f>Z16-$X$4-$AA$17*(1-BP7)</f>
        <v>0</v>
      </c>
      <c r="AD81" s="1"/>
      <c r="AE81" s="1"/>
      <c r="AF81" s="1"/>
      <c r="AG81" s="1"/>
      <c r="AH81" s="1"/>
      <c r="AI81" s="1"/>
      <c r="AJ81" s="1"/>
      <c r="AL81" s="1"/>
      <c r="AM81" s="1"/>
      <c r="AN81" s="1"/>
      <c r="AO81" s="1"/>
      <c r="AP81" s="1"/>
      <c r="AQ81" s="1"/>
      <c r="AR81" s="1"/>
      <c r="AT81" s="1"/>
      <c r="AU81" s="1"/>
      <c r="AV81" s="1"/>
      <c r="AW81" s="1"/>
      <c r="AX81" s="1"/>
      <c r="AY81" s="1"/>
      <c r="BA81" s="1"/>
      <c r="BB81" s="1"/>
      <c r="BC81" s="1"/>
      <c r="BD81" s="1"/>
      <c r="BE81" s="1"/>
      <c r="BG81" s="1"/>
      <c r="BH81" s="1"/>
      <c r="BI81" s="1"/>
      <c r="BK81" s="1"/>
      <c r="BL81" s="1"/>
      <c r="BM81" s="1"/>
      <c r="BO81" s="1"/>
      <c r="BP81" s="1"/>
      <c r="BR81" s="1"/>
    </row>
    <row r="82" spans="1:70" x14ac:dyDescent="0.3">
      <c r="A82" s="6" t="s">
        <v>13</v>
      </c>
      <c r="B82" s="1"/>
      <c r="C82" s="1"/>
      <c r="D82" s="1"/>
      <c r="E82" s="1"/>
      <c r="F82" s="1"/>
      <c r="G82" s="1"/>
      <c r="H82" s="1"/>
      <c r="I82" s="1"/>
      <c r="J82" s="13">
        <f>$Y$20-Z2-$AA$17*(1-BR15)</f>
        <v>-48.510000000000062</v>
      </c>
      <c r="R82" s="6" t="s">
        <v>13</v>
      </c>
      <c r="S82" s="1"/>
      <c r="T82" s="1"/>
      <c r="U82" s="1"/>
      <c r="V82" s="1"/>
      <c r="W82" s="1"/>
      <c r="X82" s="1"/>
      <c r="Y82" s="1"/>
      <c r="Z82" s="1"/>
      <c r="AA82" s="1">
        <f>Z16-$Y$4-$AA$17*(1-BR7)</f>
        <v>-2.319999999999947</v>
      </c>
      <c r="AD82" s="1"/>
      <c r="AE82" s="1"/>
      <c r="AF82" s="1"/>
      <c r="AG82" s="1"/>
      <c r="AH82" s="1"/>
      <c r="AI82" s="1"/>
      <c r="AJ82" s="1"/>
      <c r="AL82" s="1"/>
      <c r="AM82" s="1"/>
      <c r="AN82" s="1"/>
      <c r="AO82" s="1"/>
      <c r="AP82" s="1"/>
      <c r="AQ82" s="1"/>
      <c r="AR82" s="1"/>
      <c r="AT82" s="1"/>
      <c r="AU82" s="1"/>
      <c r="AV82" s="1"/>
      <c r="AW82" s="1"/>
      <c r="AX82" s="1"/>
      <c r="AY82" s="1"/>
      <c r="BA82" s="1"/>
      <c r="BB82" s="1"/>
      <c r="BC82" s="1"/>
      <c r="BD82" s="1"/>
      <c r="BE82" s="1"/>
      <c r="BG82" s="1"/>
      <c r="BH82" s="1"/>
      <c r="BI82" s="1"/>
      <c r="BK82" s="1"/>
      <c r="BL82" s="1"/>
      <c r="BM82" s="1"/>
      <c r="BO82" s="1"/>
      <c r="BP82" s="1"/>
      <c r="BR82" s="1"/>
    </row>
    <row r="83" spans="1:70" x14ac:dyDescent="0.3">
      <c r="A83" s="6" t="s">
        <v>15</v>
      </c>
      <c r="B83" s="1"/>
      <c r="C83" s="1"/>
      <c r="D83" s="1"/>
      <c r="E83" s="1"/>
      <c r="F83" s="1"/>
      <c r="G83" s="1"/>
      <c r="H83" s="1"/>
      <c r="I83" s="1"/>
      <c r="J83" s="1"/>
      <c r="R83" s="6" t="s">
        <v>15</v>
      </c>
      <c r="S83" s="1"/>
      <c r="T83" s="1"/>
      <c r="U83" s="1"/>
      <c r="V83" s="1"/>
      <c r="W83" s="1"/>
      <c r="X83" s="1"/>
      <c r="Y83" s="1"/>
      <c r="Z83" s="1"/>
      <c r="AA83" s="1"/>
      <c r="AD83" s="1"/>
      <c r="AE83" s="1"/>
      <c r="AF83" s="1"/>
      <c r="AG83" s="1"/>
      <c r="AH83" s="1"/>
      <c r="AI83" s="1"/>
      <c r="AJ83" s="1"/>
      <c r="AL83" s="1"/>
      <c r="AM83" s="1"/>
      <c r="AN83" s="1"/>
      <c r="AO83" s="1"/>
      <c r="AP83" s="1"/>
      <c r="AQ83" s="1"/>
      <c r="AR83" s="1"/>
      <c r="AT83" s="1"/>
      <c r="AU83" s="1"/>
      <c r="AV83" s="1"/>
      <c r="AW83" s="1"/>
      <c r="AX83" s="1"/>
      <c r="AY83" s="1"/>
      <c r="BA83" s="1"/>
      <c r="BB83" s="1"/>
      <c r="BC83" s="1"/>
      <c r="BD83" s="1"/>
      <c r="BE83" s="1"/>
      <c r="BG83" s="1"/>
      <c r="BH83" s="1"/>
      <c r="BI83" s="1"/>
      <c r="BK83" s="1"/>
      <c r="BL83" s="1"/>
      <c r="BM83" s="1"/>
      <c r="BO83" s="1"/>
      <c r="BP83" s="1"/>
      <c r="BR83" s="1"/>
    </row>
    <row r="84" spans="1:70" x14ac:dyDescent="0.3">
      <c r="AD84" s="1"/>
      <c r="AE84" s="1"/>
      <c r="AF84" s="1"/>
      <c r="AG84" s="1"/>
      <c r="AH84" s="1"/>
      <c r="AI84" s="1"/>
      <c r="AJ84" s="1"/>
      <c r="AL84" s="1"/>
      <c r="AM84" s="1"/>
      <c r="AN84" s="1"/>
      <c r="AO84" s="1"/>
      <c r="AP84" s="1"/>
      <c r="AQ84" s="1"/>
      <c r="AR84" s="1"/>
      <c r="AT84" s="1"/>
      <c r="AU84" s="1"/>
      <c r="AV84" s="1"/>
      <c r="AW84" s="1"/>
      <c r="AX84" s="1"/>
      <c r="AY84" s="1"/>
      <c r="BA84" s="1"/>
      <c r="BB84" s="1"/>
      <c r="BC84" s="1"/>
      <c r="BD84" s="1"/>
      <c r="BE84" s="1"/>
      <c r="BG84" s="1"/>
      <c r="BH84" s="1"/>
      <c r="BI84" s="1"/>
      <c r="BK84" s="1"/>
      <c r="BL84" s="1"/>
      <c r="BM84" s="1"/>
      <c r="BO84" s="1"/>
      <c r="BP84" s="1"/>
      <c r="BR84" s="1"/>
    </row>
    <row r="85" spans="1:70" x14ac:dyDescent="0.3">
      <c r="A85" t="s">
        <v>74</v>
      </c>
      <c r="R85" s="1" t="s">
        <v>34</v>
      </c>
      <c r="S85" s="6" t="s">
        <v>1</v>
      </c>
      <c r="T85" s="6" t="s">
        <v>2</v>
      </c>
      <c r="U85" s="6" t="s">
        <v>4</v>
      </c>
      <c r="V85" s="6" t="s">
        <v>6</v>
      </c>
      <c r="W85" s="6" t="s">
        <v>8</v>
      </c>
      <c r="X85" s="6" t="s">
        <v>9</v>
      </c>
      <c r="Y85" s="6" t="s">
        <v>11</v>
      </c>
      <c r="Z85" s="6" t="s">
        <v>13</v>
      </c>
      <c r="AA85" s="6" t="s">
        <v>15</v>
      </c>
      <c r="AD85" s="1"/>
      <c r="AE85" s="1"/>
      <c r="AF85" s="1"/>
      <c r="AG85" s="1"/>
      <c r="AH85" s="1"/>
      <c r="AI85" s="1"/>
      <c r="AJ85" s="1"/>
      <c r="AL85" s="1"/>
      <c r="AM85" s="1"/>
      <c r="AN85" s="1"/>
      <c r="AO85" s="1"/>
      <c r="AP85" s="1"/>
      <c r="AQ85" s="1"/>
      <c r="AR85" s="1"/>
      <c r="AT85" s="1"/>
      <c r="AU85" s="1"/>
      <c r="AV85" s="1"/>
      <c r="AW85" s="1"/>
      <c r="AX85" s="1"/>
      <c r="AY85" s="1"/>
      <c r="BA85" s="1"/>
      <c r="BB85" s="1"/>
      <c r="BC85" s="1"/>
      <c r="BD85" s="1"/>
      <c r="BE85" s="1"/>
      <c r="BG85" s="1"/>
      <c r="BH85" s="1"/>
      <c r="BI85" s="1"/>
      <c r="BK85" s="1"/>
      <c r="BL85" s="1"/>
      <c r="BM85" s="1"/>
      <c r="BO85" s="1"/>
      <c r="BP85" s="1"/>
      <c r="BR85" s="1"/>
    </row>
    <row r="86" spans="1:70" x14ac:dyDescent="0.3">
      <c r="A86" s="1"/>
      <c r="B86" s="6" t="s">
        <v>1</v>
      </c>
      <c r="C86" s="6" t="s">
        <v>2</v>
      </c>
      <c r="D86" s="6" t="s">
        <v>4</v>
      </c>
      <c r="E86" s="6" t="s">
        <v>6</v>
      </c>
      <c r="F86" s="6" t="s">
        <v>8</v>
      </c>
      <c r="G86" s="6" t="s">
        <v>9</v>
      </c>
      <c r="H86" s="6" t="s">
        <v>11</v>
      </c>
      <c r="I86" s="6" t="s">
        <v>13</v>
      </c>
      <c r="J86" s="6" t="s">
        <v>15</v>
      </c>
      <c r="R86" s="6" t="s">
        <v>1</v>
      </c>
      <c r="S86" s="1"/>
      <c r="T86" s="1"/>
      <c r="U86" s="1">
        <f>T17-$R$4-$AA$17*(1-AD8)</f>
        <v>-59.600000000000016</v>
      </c>
      <c r="V86" s="1">
        <f t="shared" ref="V86:AA86" si="101">U17-$R$4-$AA$17*(1-AE8)</f>
        <v>-58.710000000000015</v>
      </c>
      <c r="W86" s="1">
        <f t="shared" si="101"/>
        <v>-55.679999999999986</v>
      </c>
      <c r="X86" s="1">
        <f t="shared" si="101"/>
        <v>-52.139999999999986</v>
      </c>
      <c r="Y86" s="1">
        <f t="shared" si="101"/>
        <v>-48.330000000000005</v>
      </c>
      <c r="Z86" s="1">
        <f t="shared" si="101"/>
        <v>-46.989999999999966</v>
      </c>
      <c r="AA86" s="1">
        <f t="shared" si="101"/>
        <v>-39.929999999999943</v>
      </c>
      <c r="AD86" s="1"/>
      <c r="AE86" s="1"/>
      <c r="AF86" s="1"/>
      <c r="AG86" s="1"/>
      <c r="AH86" s="1"/>
      <c r="AI86" s="1"/>
      <c r="AJ86" s="1"/>
      <c r="AL86" s="1"/>
      <c r="AM86" s="1"/>
      <c r="AN86" s="1"/>
      <c r="AO86" s="1"/>
      <c r="AP86" s="1"/>
      <c r="AQ86" s="1"/>
      <c r="AR86" s="1"/>
      <c r="AT86" s="1"/>
      <c r="AU86" s="1"/>
      <c r="AV86" s="1"/>
      <c r="AW86" s="1"/>
      <c r="AX86" s="1"/>
      <c r="AY86" s="1"/>
      <c r="BA86" s="1"/>
      <c r="BB86" s="1"/>
      <c r="BC86" s="1"/>
      <c r="BD86" s="1"/>
      <c r="BE86" s="1"/>
      <c r="BG86" s="1"/>
      <c r="BH86" s="1"/>
      <c r="BI86" s="1"/>
      <c r="BK86" s="1"/>
      <c r="BL86" s="1"/>
      <c r="BM86" s="1"/>
      <c r="BO86" s="1"/>
      <c r="BP86" s="1"/>
      <c r="BR86" s="1"/>
    </row>
    <row r="87" spans="1:70" x14ac:dyDescent="0.3">
      <c r="A87" s="6" t="s">
        <v>1</v>
      </c>
      <c r="B87" s="1"/>
      <c r="C87" s="1"/>
      <c r="D87" s="13">
        <f>$R$20-T3-$AA$17*(1-AD16)</f>
        <v>-56.339999999999982</v>
      </c>
      <c r="E87" s="13">
        <f t="shared" ref="E87:I87" si="102">$R$20-U3-$AA$17*(1-AE16)</f>
        <v>-57.229999999999983</v>
      </c>
      <c r="F87" s="13">
        <f t="shared" si="102"/>
        <v>-60.38000000000001</v>
      </c>
      <c r="G87" s="13">
        <f t="shared" si="102"/>
        <v>-0.12000000000000455</v>
      </c>
      <c r="H87" s="13">
        <f t="shared" si="102"/>
        <v>-6.0099999999999838</v>
      </c>
      <c r="I87" s="13">
        <f t="shared" si="102"/>
        <v>-7.3500000000000263</v>
      </c>
      <c r="J87" s="13">
        <f>$R$20-Z3-$AA$17*(1-AJ16)</f>
        <v>-12.280000000000047</v>
      </c>
      <c r="R87" s="6" t="s">
        <v>2</v>
      </c>
      <c r="S87" s="1"/>
      <c r="T87" s="1"/>
      <c r="U87" s="1">
        <f>T17-$S$4-$AA$17*(1-AL8)</f>
        <v>-0.41999999999999371</v>
      </c>
      <c r="V87" s="1">
        <f t="shared" ref="V87:AA87" si="103">U17-$S$4-$AA$17*(1-AM8)</f>
        <v>-61.13</v>
      </c>
      <c r="W87" s="1">
        <f t="shared" si="103"/>
        <v>-58.099999999999973</v>
      </c>
      <c r="X87" s="1">
        <f t="shared" si="103"/>
        <v>-54.559999999999974</v>
      </c>
      <c r="Y87" s="1">
        <f t="shared" si="103"/>
        <v>-50.749999999999993</v>
      </c>
      <c r="Z87" s="1">
        <f t="shared" si="103"/>
        <v>-49.409999999999954</v>
      </c>
      <c r="AA87" s="1">
        <f t="shared" si="103"/>
        <v>-42.34999999999993</v>
      </c>
      <c r="AD87" s="1"/>
      <c r="AE87" s="1"/>
      <c r="AF87" s="1"/>
      <c r="AG87" s="1"/>
      <c r="AH87" s="1"/>
      <c r="AI87" s="1"/>
      <c r="AJ87" s="1"/>
      <c r="AL87" s="1"/>
      <c r="AM87" s="1"/>
      <c r="AN87" s="1"/>
      <c r="AO87" s="1"/>
      <c r="AP87" s="1"/>
      <c r="AQ87" s="1"/>
      <c r="AR87" s="1"/>
      <c r="AT87" s="1"/>
      <c r="AU87" s="1"/>
      <c r="AV87" s="1"/>
      <c r="AW87" s="1"/>
      <c r="AX87" s="1"/>
      <c r="AY87" s="1"/>
      <c r="BA87" s="1"/>
      <c r="BB87" s="1"/>
      <c r="BC87" s="1"/>
      <c r="BD87" s="1"/>
      <c r="BE87" s="1"/>
      <c r="BG87" s="1"/>
      <c r="BH87" s="1"/>
      <c r="BI87" s="1"/>
      <c r="BK87" s="1"/>
      <c r="BL87" s="1"/>
      <c r="BM87" s="1"/>
      <c r="BO87" s="1"/>
      <c r="BP87" s="1"/>
      <c r="BR87" s="1"/>
    </row>
    <row r="88" spans="1:70" x14ac:dyDescent="0.3">
      <c r="A88" s="6" t="s">
        <v>2</v>
      </c>
      <c r="B88" s="1"/>
      <c r="C88" s="1"/>
      <c r="D88" s="13">
        <f>$S$20-T3-$AA$17*(1-AL16)</f>
        <v>-51.550000000000004</v>
      </c>
      <c r="E88" s="13">
        <f t="shared" ref="E88:J88" si="104">$S$20-U3-$AA$17*(1-AM16)</f>
        <v>-52.440000000000005</v>
      </c>
      <c r="F88" s="13">
        <f t="shared" si="104"/>
        <v>-55.590000000000032</v>
      </c>
      <c r="G88" s="13">
        <f t="shared" si="104"/>
        <v>-56.930000000000035</v>
      </c>
      <c r="H88" s="13">
        <f t="shared" si="104"/>
        <v>-1.2200000000000024</v>
      </c>
      <c r="I88" s="13">
        <f t="shared" si="104"/>
        <v>-2.5600000000000449</v>
      </c>
      <c r="J88" s="13">
        <f t="shared" si="104"/>
        <v>-7.4900000000000659</v>
      </c>
      <c r="R88" s="6" t="s">
        <v>4</v>
      </c>
      <c r="S88" s="1"/>
      <c r="T88" s="1"/>
      <c r="U88" s="1"/>
      <c r="V88" s="1">
        <f>U17-$T$4-$AA$17*(1-AT8)</f>
        <v>-2.9100000000000064</v>
      </c>
      <c r="W88" s="1">
        <f t="shared" ref="W88:AA88" si="105">V17-$T$4-$AA$17*(1-AU8)</f>
        <v>-61.47999999999999</v>
      </c>
      <c r="X88" s="1">
        <f t="shared" si="105"/>
        <v>-57.939999999999984</v>
      </c>
      <c r="Y88" s="1">
        <f t="shared" si="105"/>
        <v>-54.13000000000001</v>
      </c>
      <c r="Z88" s="1">
        <f t="shared" si="105"/>
        <v>-52.789999999999964</v>
      </c>
      <c r="AA88" s="1">
        <f t="shared" si="105"/>
        <v>-45.729999999999947</v>
      </c>
      <c r="AD88" s="1"/>
      <c r="AE88" s="1"/>
      <c r="AF88" s="1"/>
      <c r="AG88" s="1"/>
      <c r="AH88" s="1"/>
      <c r="AI88" s="1"/>
      <c r="AJ88" s="1"/>
      <c r="AL88" s="1"/>
      <c r="AM88" s="1"/>
      <c r="AN88" s="1"/>
      <c r="AO88" s="1"/>
      <c r="AP88" s="1"/>
      <c r="AQ88" s="1"/>
      <c r="AR88" s="1"/>
      <c r="AT88" s="1"/>
      <c r="AU88" s="1"/>
      <c r="AV88" s="1"/>
      <c r="AW88" s="1"/>
      <c r="AX88" s="1"/>
      <c r="AY88" s="1"/>
      <c r="BA88" s="1"/>
      <c r="BB88" s="1"/>
      <c r="BC88" s="1"/>
      <c r="BD88" s="1"/>
      <c r="BE88" s="1"/>
      <c r="BG88" s="1"/>
      <c r="BH88" s="1"/>
      <c r="BI88" s="1"/>
      <c r="BK88" s="1"/>
      <c r="BL88" s="1"/>
      <c r="BM88" s="1"/>
      <c r="BO88" s="1"/>
      <c r="BP88" s="1"/>
      <c r="BR88" s="1"/>
    </row>
    <row r="89" spans="1:70" x14ac:dyDescent="0.3">
      <c r="A89" s="6" t="s">
        <v>4</v>
      </c>
      <c r="B89" s="1"/>
      <c r="C89" s="1"/>
      <c r="D89" s="1"/>
      <c r="E89" s="13">
        <f>$T$20-U3-$AA$17*(1-AT16)</f>
        <v>-50.979999999999968</v>
      </c>
      <c r="F89" s="13">
        <f t="shared" ref="F89:J89" si="106">$T$20-V3-$AA$17*(1-AU16)</f>
        <v>-54.129999999999995</v>
      </c>
      <c r="G89" s="13">
        <f t="shared" si="106"/>
        <v>-55.47</v>
      </c>
      <c r="H89" s="13">
        <f t="shared" si="106"/>
        <v>-61.359999999999978</v>
      </c>
      <c r="I89" s="13">
        <f t="shared" si="106"/>
        <v>-1.1000000000000121</v>
      </c>
      <c r="J89" s="13">
        <f t="shared" si="106"/>
        <v>-6.0300000000000331</v>
      </c>
      <c r="R89" s="6" t="s">
        <v>6</v>
      </c>
      <c r="S89" s="1"/>
      <c r="T89" s="1"/>
      <c r="U89" s="1"/>
      <c r="V89" s="1"/>
      <c r="W89" s="1">
        <f>V17-$U$4-$AA$17*(1-BA8)</f>
        <v>-1.0999999999999908</v>
      </c>
      <c r="X89" s="1">
        <f t="shared" ref="X89:AA89" si="107">W17-$U$4-$AA$17*(1-BB8)</f>
        <v>-59.16</v>
      </c>
      <c r="Y89" s="1">
        <f t="shared" si="107"/>
        <v>-55.350000000000023</v>
      </c>
      <c r="Z89" s="1">
        <f t="shared" si="107"/>
        <v>-54.009999999999977</v>
      </c>
      <c r="AA89" s="1">
        <f t="shared" si="107"/>
        <v>-46.94999999999996</v>
      </c>
      <c r="AD89" s="1"/>
      <c r="AE89" s="1"/>
      <c r="AF89" s="1"/>
      <c r="AG89" s="1"/>
      <c r="AH89" s="1"/>
      <c r="AI89" s="1"/>
      <c r="AJ89" s="1"/>
      <c r="AL89" s="1"/>
      <c r="AM89" s="1"/>
      <c r="AN89" s="1"/>
      <c r="AO89" s="1"/>
      <c r="AP89" s="1"/>
      <c r="AQ89" s="1"/>
      <c r="AR89" s="1"/>
      <c r="AT89" s="1"/>
      <c r="AU89" s="1"/>
      <c r="AV89" s="1"/>
      <c r="AW89" s="1"/>
      <c r="AX89" s="1"/>
      <c r="AY89" s="1"/>
      <c r="BA89" s="1"/>
      <c r="BB89" s="1"/>
      <c r="BC89" s="1"/>
      <c r="BD89" s="1"/>
      <c r="BE89" s="1"/>
      <c r="BG89" s="1"/>
      <c r="BH89" s="1"/>
      <c r="BI89" s="1"/>
      <c r="BK89" s="1"/>
      <c r="BL89" s="1"/>
      <c r="BM89" s="1"/>
      <c r="BO89" s="1"/>
      <c r="BP89" s="1"/>
      <c r="BR89" s="1"/>
    </row>
    <row r="90" spans="1:70" x14ac:dyDescent="0.3">
      <c r="A90" s="6" t="s">
        <v>6</v>
      </c>
      <c r="B90" s="1"/>
      <c r="C90" s="1"/>
      <c r="D90" s="1"/>
      <c r="E90" s="1"/>
      <c r="F90" s="13">
        <f>$U$20-V3-$AA$17*(1-BA16)</f>
        <v>-52.789999999999978</v>
      </c>
      <c r="G90" s="13">
        <f t="shared" ref="G90:I90" si="108">$U$20-W3-$AA$17*(1-BB16)</f>
        <v>-54.129999999999981</v>
      </c>
      <c r="H90" s="13">
        <f t="shared" si="108"/>
        <v>-60.01999999999996</v>
      </c>
      <c r="I90" s="13">
        <f t="shared" si="108"/>
        <v>-61.36</v>
      </c>
      <c r="J90" s="13">
        <f>$U$20-Z3-$AA$17*(1-BE16)</f>
        <v>-4.6900000000000155</v>
      </c>
      <c r="K90" s="29"/>
      <c r="R90" s="6" t="s">
        <v>8</v>
      </c>
      <c r="S90" s="1"/>
      <c r="T90" s="1"/>
      <c r="U90" s="1"/>
      <c r="V90" s="1"/>
      <c r="W90" s="1"/>
      <c r="X90" s="1"/>
      <c r="Y90" s="1">
        <f>X17-$V$4-$AA$17*(1-BG8)</f>
        <v>-60.38000000000001</v>
      </c>
      <c r="Z90" s="1">
        <f>Y17-$V$4-$AA$17*(1-BH8)</f>
        <v>-59.039999999999964</v>
      </c>
      <c r="AA90" s="1">
        <f>Z17-$V$4-$AA$17*(1-BI8)</f>
        <v>-51.979999999999947</v>
      </c>
      <c r="AD90" s="1"/>
      <c r="AE90" s="1"/>
      <c r="AF90" s="1"/>
      <c r="AG90" s="1"/>
      <c r="AH90" s="1"/>
      <c r="AI90" s="1"/>
      <c r="AJ90" s="1"/>
      <c r="AL90" s="1"/>
      <c r="AM90" s="1"/>
      <c r="AN90" s="1"/>
      <c r="AO90" s="1"/>
      <c r="AP90" s="1"/>
      <c r="AQ90" s="1"/>
      <c r="AR90" s="1"/>
      <c r="AT90" s="1"/>
      <c r="AU90" s="1"/>
      <c r="AV90" s="1"/>
      <c r="AW90" s="1"/>
      <c r="AX90" s="1"/>
      <c r="AY90" s="1"/>
      <c r="BA90" s="1"/>
      <c r="BB90" s="1"/>
      <c r="BC90" s="1"/>
      <c r="BD90" s="1"/>
      <c r="BE90" s="1"/>
      <c r="BG90" s="1"/>
      <c r="BH90" s="1"/>
      <c r="BI90" s="1"/>
      <c r="BK90" s="1"/>
      <c r="BL90" s="1"/>
      <c r="BM90" s="1"/>
      <c r="BO90" s="1"/>
      <c r="BP90" s="1"/>
      <c r="BR90" s="1"/>
    </row>
    <row r="91" spans="1:70" x14ac:dyDescent="0.3">
      <c r="A91" s="6" t="s">
        <v>8</v>
      </c>
      <c r="B91" s="1"/>
      <c r="C91" s="1"/>
      <c r="D91" s="1"/>
      <c r="E91" s="1"/>
      <c r="F91" s="1"/>
      <c r="G91" s="1"/>
      <c r="H91" s="13">
        <f>$V$20-X3-$AA$17*(1-BG16)</f>
        <v>-55.329999999999941</v>
      </c>
      <c r="I91" s="13">
        <f t="shared" ref="I91:J91" si="109">$V$20-Y3-$AA$17*(1-BH16)</f>
        <v>-56.669999999999987</v>
      </c>
      <c r="J91" s="13">
        <f t="shared" si="109"/>
        <v>0</v>
      </c>
      <c r="K91" s="29"/>
      <c r="R91" s="6" t="s">
        <v>9</v>
      </c>
      <c r="S91" s="1"/>
      <c r="T91" s="1"/>
      <c r="U91" s="1"/>
      <c r="V91" s="1"/>
      <c r="W91" s="1"/>
      <c r="X91" s="1"/>
      <c r="Y91" s="1">
        <f>X17-$W$4-$AA$17*(1-BK8)</f>
        <v>-0.12000000000003297</v>
      </c>
      <c r="Z91" s="1">
        <f>Y17-$W$4-$AA$17*(1-BL8)</f>
        <v>-60.379999999999995</v>
      </c>
      <c r="AA91" s="1">
        <f>Z17-$W$4-$AA$17*(1-BM8)</f>
        <v>-53.319999999999979</v>
      </c>
      <c r="AD91" s="1"/>
      <c r="AE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T91" s="1"/>
      <c r="AU91" s="1"/>
      <c r="AV91" s="1"/>
      <c r="AW91" s="1"/>
      <c r="AX91" s="1"/>
      <c r="AY91" s="1"/>
      <c r="BA91" s="1"/>
      <c r="BB91" s="1"/>
      <c r="BC91" s="1"/>
      <c r="BD91" s="1"/>
      <c r="BE91" s="1"/>
      <c r="BG91" s="1"/>
      <c r="BH91" s="1"/>
      <c r="BI91" s="1"/>
      <c r="BK91" s="1"/>
      <c r="BL91" s="1"/>
      <c r="BM91" s="1"/>
      <c r="BO91" s="1"/>
      <c r="BP91" s="1"/>
      <c r="BR91" s="1"/>
    </row>
    <row r="92" spans="1:70" x14ac:dyDescent="0.3">
      <c r="A92" s="6" t="s">
        <v>9</v>
      </c>
      <c r="B92" s="1"/>
      <c r="C92" s="1"/>
      <c r="D92" s="1"/>
      <c r="E92" s="1"/>
      <c r="F92" s="1"/>
      <c r="G92" s="1"/>
      <c r="H92" s="13">
        <f>$W$20-X3-$AA$17*(1-BK16)</f>
        <v>-50.759999999999941</v>
      </c>
      <c r="I92" s="13">
        <f t="shared" ref="I92:J92" si="110">$W$20-Y3-$AA$17*(1-BL16)</f>
        <v>-52.09999999999998</v>
      </c>
      <c r="J92" s="13">
        <f t="shared" si="110"/>
        <v>-57.03</v>
      </c>
      <c r="R92" s="6" t="s">
        <v>11</v>
      </c>
      <c r="S92" s="1"/>
      <c r="T92" s="1"/>
      <c r="U92" s="1"/>
      <c r="V92" s="1"/>
      <c r="W92" s="1"/>
      <c r="X92" s="1"/>
      <c r="Y92" s="1"/>
      <c r="Z92" s="1">
        <f>Y17-$X$4-$AA$17*(1-BO8)</f>
        <v>-2.3700000000000081</v>
      </c>
      <c r="AA92" s="1">
        <f>Z17-$X$4-$AA$17*(1-BP8)</f>
        <v>-56.91</v>
      </c>
      <c r="AD92" s="1"/>
      <c r="AE92" s="1"/>
      <c r="AF92" s="1"/>
      <c r="AG92" s="1"/>
      <c r="AH92" s="1"/>
      <c r="AI92" s="1"/>
      <c r="AJ92" s="1"/>
      <c r="AL92" s="1"/>
      <c r="AM92" s="1"/>
      <c r="AN92" s="1"/>
      <c r="AO92" s="1"/>
      <c r="AP92" s="1"/>
      <c r="AQ92" s="1"/>
      <c r="AR92" s="1"/>
      <c r="AT92" s="1"/>
      <c r="AU92" s="1"/>
      <c r="AV92" s="1"/>
      <c r="AW92" s="1"/>
      <c r="AX92" s="1"/>
      <c r="AY92" s="1"/>
      <c r="BA92" s="1"/>
      <c r="BB92" s="1"/>
      <c r="BC92" s="1"/>
      <c r="BD92" s="1"/>
      <c r="BE92" s="1"/>
      <c r="BG92" s="1"/>
      <c r="BH92" s="1"/>
      <c r="BI92" s="1"/>
      <c r="BK92" s="1"/>
      <c r="BL92" s="1"/>
      <c r="BM92" s="1"/>
      <c r="BO92" s="1"/>
      <c r="BP92" s="1"/>
      <c r="BR92" s="1"/>
    </row>
    <row r="93" spans="1:70" x14ac:dyDescent="0.3">
      <c r="A93" s="6" t="s">
        <v>11</v>
      </c>
      <c r="B93" s="1"/>
      <c r="C93" s="1"/>
      <c r="D93" s="1"/>
      <c r="E93" s="1"/>
      <c r="F93" s="1"/>
      <c r="G93" s="1"/>
      <c r="H93" s="1"/>
      <c r="I93" s="13">
        <f>$X$20-Y3-$AA$17*(1-BO16)</f>
        <v>-50.639999999999986</v>
      </c>
      <c r="J93" s="13">
        <f>$X$20-Z3-$AA$17*(1-BP16)</f>
        <v>-55.570000000000007</v>
      </c>
      <c r="Q93" s="5"/>
      <c r="R93" s="6" t="s">
        <v>13</v>
      </c>
      <c r="S93" s="1"/>
      <c r="T93" s="1"/>
      <c r="U93" s="1"/>
      <c r="V93" s="1"/>
      <c r="W93" s="1"/>
      <c r="X93" s="1"/>
      <c r="Y93" s="1"/>
      <c r="Z93" s="1"/>
      <c r="AA93" s="1">
        <f>Z17-$Y$4-$AA$17*(1-BR8)</f>
        <v>-59.229999999999947</v>
      </c>
      <c r="AD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T93" s="1"/>
      <c r="AU93" s="1"/>
      <c r="AV93" s="1"/>
      <c r="AW93" s="1"/>
      <c r="AX93" s="1"/>
      <c r="AY93" s="1"/>
      <c r="BA93" s="1"/>
      <c r="BB93" s="1"/>
      <c r="BC93" s="1"/>
      <c r="BD93" s="1"/>
      <c r="BE93" s="1"/>
      <c r="BG93" s="1"/>
      <c r="BH93" s="1"/>
      <c r="BI93" s="1"/>
      <c r="BK93" s="1"/>
      <c r="BL93" s="1"/>
      <c r="BM93" s="1"/>
      <c r="BO93" s="1"/>
      <c r="BP93" s="1"/>
      <c r="BR93" s="1"/>
    </row>
    <row r="94" spans="1:70" x14ac:dyDescent="0.3">
      <c r="A94" s="6" t="s">
        <v>13</v>
      </c>
      <c r="B94" s="1"/>
      <c r="C94" s="1"/>
      <c r="D94" s="1"/>
      <c r="E94" s="1"/>
      <c r="F94" s="1"/>
      <c r="G94" s="1"/>
      <c r="H94" s="1"/>
      <c r="I94" s="1"/>
      <c r="J94" s="13">
        <f>$Y$20-Z3-$AA$17*(1-BR16)</f>
        <v>-53.200000000000074</v>
      </c>
      <c r="R94" s="6" t="s">
        <v>15</v>
      </c>
      <c r="S94" s="1"/>
      <c r="T94" s="1"/>
      <c r="U94" s="1"/>
      <c r="V94" s="1"/>
      <c r="W94" s="1"/>
      <c r="X94" s="1"/>
      <c r="Y94" s="1"/>
      <c r="Z94" s="1"/>
      <c r="AA94" s="1"/>
      <c r="AD94" s="1"/>
      <c r="AE94" s="1"/>
      <c r="AF94" s="1"/>
      <c r="AG94" s="1"/>
      <c r="AH94" s="1"/>
      <c r="AI94" s="1"/>
      <c r="AJ94" s="1"/>
      <c r="AL94" s="1"/>
      <c r="AM94" s="1"/>
      <c r="AN94" s="1"/>
      <c r="AO94" s="1"/>
      <c r="AP94" s="1"/>
      <c r="AQ94" s="1"/>
      <c r="AR94" s="1"/>
      <c r="AT94" s="1"/>
      <c r="AU94" s="1"/>
      <c r="AV94" s="1"/>
      <c r="AW94" s="1"/>
      <c r="AX94" s="1"/>
      <c r="AY94" s="1"/>
      <c r="BA94" s="1"/>
      <c r="BB94" s="1"/>
      <c r="BC94" s="1"/>
      <c r="BD94" s="1"/>
      <c r="BE94" s="1"/>
      <c r="BG94" s="1"/>
      <c r="BH94" s="1"/>
      <c r="BI94" s="1"/>
      <c r="BK94" s="1"/>
      <c r="BL94" s="1"/>
      <c r="BM94" s="1"/>
      <c r="BO94" s="1"/>
      <c r="BP94" s="1"/>
      <c r="BR94" s="1"/>
    </row>
    <row r="95" spans="1:70" x14ac:dyDescent="0.3">
      <c r="A95" s="6" t="s">
        <v>15</v>
      </c>
      <c r="B95" s="1"/>
      <c r="C95" s="1"/>
      <c r="D95" s="1"/>
      <c r="E95" s="1"/>
      <c r="F95" s="1"/>
      <c r="G95" s="1"/>
      <c r="H95" s="1"/>
      <c r="I95" s="1"/>
      <c r="J95" s="1"/>
      <c r="AD95" s="1"/>
      <c r="AE95" s="1"/>
      <c r="AF95" s="1"/>
      <c r="AG95" s="1"/>
      <c r="AH95" s="1"/>
      <c r="AI95" s="1"/>
      <c r="AJ95" s="1"/>
      <c r="AL95" s="1"/>
      <c r="AM95" s="1"/>
      <c r="AN95" s="1"/>
      <c r="AO95" s="1"/>
      <c r="AP95" s="1"/>
      <c r="AQ95" s="1"/>
      <c r="AR95" s="1"/>
      <c r="AT95" s="1"/>
      <c r="AU95" s="1"/>
      <c r="AV95" s="1"/>
      <c r="AW95" s="1"/>
      <c r="AX95" s="1"/>
      <c r="AY95" s="1"/>
      <c r="BA95" s="1"/>
      <c r="BB95" s="1"/>
      <c r="BC95" s="1"/>
      <c r="BD95" s="1"/>
      <c r="BE95" s="1"/>
      <c r="BG95" s="1"/>
      <c r="BH95" s="1"/>
      <c r="BI95" s="1"/>
      <c r="BK95" s="1"/>
      <c r="BL95" s="1"/>
      <c r="BM95" s="1"/>
      <c r="BO95" s="1"/>
      <c r="BP95" s="1"/>
      <c r="BR95" s="1"/>
    </row>
    <row r="96" spans="1:70" x14ac:dyDescent="0.3">
      <c r="Q96" t="s">
        <v>54</v>
      </c>
      <c r="R96" t="s">
        <v>40</v>
      </c>
      <c r="AD96" s="1"/>
      <c r="AE96" s="1"/>
      <c r="AF96" s="1"/>
      <c r="AG96" s="1"/>
      <c r="AH96" s="1"/>
      <c r="AI96" s="1"/>
      <c r="AJ96" s="1"/>
      <c r="AL96" s="1"/>
      <c r="AM96" s="1"/>
      <c r="AN96" s="1"/>
      <c r="AO96" s="1"/>
      <c r="AP96" s="1"/>
      <c r="AQ96" s="1"/>
      <c r="AR96" s="1"/>
      <c r="AT96" s="1"/>
      <c r="AU96" s="1"/>
      <c r="AV96" s="1"/>
      <c r="AW96" s="1"/>
      <c r="AX96" s="1"/>
      <c r="AY96" s="1"/>
      <c r="BA96" s="1"/>
      <c r="BB96" s="1"/>
      <c r="BC96" s="1"/>
      <c r="BD96" s="1"/>
      <c r="BE96" s="1"/>
      <c r="BG96" s="1"/>
      <c r="BH96" s="1"/>
      <c r="BI96" s="1"/>
      <c r="BK96" s="1"/>
      <c r="BL96" s="1"/>
      <c r="BM96" s="1"/>
      <c r="BO96" s="1"/>
      <c r="BP96" s="1"/>
      <c r="BR96" s="1"/>
    </row>
    <row r="97" spans="1:70" x14ac:dyDescent="0.3">
      <c r="A97" t="s">
        <v>75</v>
      </c>
      <c r="R97" s="1"/>
      <c r="S97" s="6" t="s">
        <v>1</v>
      </c>
      <c r="T97" s="6" t="s">
        <v>2</v>
      </c>
      <c r="U97" s="6" t="s">
        <v>4</v>
      </c>
      <c r="V97" s="6" t="s">
        <v>6</v>
      </c>
      <c r="W97" s="6" t="s">
        <v>8</v>
      </c>
      <c r="X97" s="6" t="s">
        <v>9</v>
      </c>
      <c r="Y97" s="6" t="s">
        <v>11</v>
      </c>
      <c r="Z97" s="6" t="s">
        <v>13</v>
      </c>
      <c r="AA97" s="6" t="s">
        <v>15</v>
      </c>
      <c r="AD97" s="1"/>
      <c r="AE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R97" s="1"/>
      <c r="AT97" s="1"/>
      <c r="AU97" s="1"/>
      <c r="AV97" s="1"/>
      <c r="AW97" s="1"/>
      <c r="AX97" s="1"/>
      <c r="AY97" s="1"/>
      <c r="BA97" s="1"/>
      <c r="BB97" s="1"/>
      <c r="BC97" s="1"/>
      <c r="BD97" s="1"/>
      <c r="BE97" s="1"/>
      <c r="BG97" s="1"/>
      <c r="BH97" s="1"/>
      <c r="BI97" s="1"/>
      <c r="BK97" s="1"/>
      <c r="BL97" s="1"/>
      <c r="BM97" s="1"/>
      <c r="BO97" s="1"/>
      <c r="BP97" s="1"/>
      <c r="BR97" s="1"/>
    </row>
    <row r="98" spans="1:70" x14ac:dyDescent="0.3">
      <c r="A98" s="1"/>
      <c r="B98" s="6" t="s">
        <v>1</v>
      </c>
      <c r="C98" s="6" t="s">
        <v>2</v>
      </c>
      <c r="D98" s="6" t="s">
        <v>4</v>
      </c>
      <c r="E98" s="6" t="s">
        <v>6</v>
      </c>
      <c r="F98" s="6" t="s">
        <v>8</v>
      </c>
      <c r="G98" s="6" t="s">
        <v>9</v>
      </c>
      <c r="H98" s="6" t="s">
        <v>11</v>
      </c>
      <c r="I98" s="6" t="s">
        <v>13</v>
      </c>
      <c r="J98" s="6" t="s">
        <v>15</v>
      </c>
      <c r="R98" s="6" t="s">
        <v>1</v>
      </c>
      <c r="S98" s="1"/>
      <c r="T98" s="1"/>
      <c r="U98" s="1">
        <f>$R$19-T2-$AA$17*(1-AD9)</f>
        <v>-56.449999999995846</v>
      </c>
      <c r="V98" s="1">
        <f t="shared" ref="V98:Z98" si="111">$R$19-U2-$AA$17*(1-AE9)</f>
        <v>-57.46</v>
      </c>
      <c r="W98" s="1">
        <f t="shared" si="111"/>
        <v>-59.58</v>
      </c>
      <c r="X98" s="1">
        <f t="shared" si="111"/>
        <v>3.5527136788005009E-15</v>
      </c>
      <c r="Y98" s="1">
        <f t="shared" si="111"/>
        <v>-3.1200000000000099</v>
      </c>
      <c r="Z98" s="1">
        <f t="shared" si="111"/>
        <v>-5.5600000000000183</v>
      </c>
      <c r="AA98" s="1">
        <f>$R$19-Z2-$AA$17*(1-AJ9)</f>
        <v>-10.710000000000045</v>
      </c>
      <c r="AD98" s="1"/>
      <c r="AE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R98" s="1"/>
      <c r="AT98" s="1"/>
      <c r="AU98" s="1"/>
      <c r="AV98" s="1"/>
      <c r="AW98" s="1"/>
      <c r="AX98" s="1"/>
      <c r="AY98" s="1"/>
      <c r="BA98" s="1"/>
      <c r="BB98" s="1"/>
      <c r="BC98" s="1"/>
      <c r="BD98" s="1"/>
      <c r="BE98" s="1"/>
      <c r="BG98" s="1"/>
      <c r="BH98" s="1"/>
      <c r="BI98" s="1"/>
      <c r="BK98" s="1"/>
      <c r="BL98" s="1"/>
      <c r="BM98" s="1"/>
      <c r="BO98" s="1"/>
      <c r="BP98" s="1"/>
      <c r="BR98" s="1"/>
    </row>
    <row r="99" spans="1:70" x14ac:dyDescent="0.3">
      <c r="A99" s="6" t="s">
        <v>1</v>
      </c>
      <c r="B99" s="1"/>
      <c r="C99" s="1"/>
      <c r="D99" s="13">
        <f>$R$20-T4-$AA$17*(1-AD17)</f>
        <v>-60.259999999999991</v>
      </c>
      <c r="E99" s="13">
        <f t="shared" ref="E99:I99" si="112">$R$20-U4-$AA$17*(1-AE17)</f>
        <v>-61.480000000000004</v>
      </c>
      <c r="F99" s="13">
        <f t="shared" si="112"/>
        <v>-4.9099999999999824</v>
      </c>
      <c r="G99" s="13">
        <f t="shared" si="112"/>
        <v>-6.2500000000000178</v>
      </c>
      <c r="H99" s="13">
        <f t="shared" si="112"/>
        <v>-9.8400000000000354</v>
      </c>
      <c r="I99" s="13">
        <f t="shared" si="112"/>
        <v>-12.159999999999982</v>
      </c>
      <c r="J99" s="13">
        <f>$R$20-Z4-$AA$17*(1-AJ17)</f>
        <v>-18.309999999999981</v>
      </c>
      <c r="R99" s="6" t="s">
        <v>2</v>
      </c>
      <c r="S99" s="1"/>
      <c r="T99" s="1"/>
      <c r="U99" s="1">
        <f>$S$19-T2-$AA$17*(1-AL9)</f>
        <v>-53.449999999995825</v>
      </c>
      <c r="V99" s="1">
        <f t="shared" ref="V99:AA99" si="113">$S$19-U2-$AA$17*(1-AM9)</f>
        <v>-54.45999999999998</v>
      </c>
      <c r="W99" s="1">
        <f t="shared" si="113"/>
        <v>-56.579999999999984</v>
      </c>
      <c r="X99" s="1">
        <f t="shared" si="113"/>
        <v>-58.599999999999987</v>
      </c>
      <c r="Y99" s="1">
        <f t="shared" si="113"/>
        <v>-0.11999999999999211</v>
      </c>
      <c r="Z99" s="1">
        <f t="shared" si="113"/>
        <v>-2.5600000000000005</v>
      </c>
      <c r="AA99" s="1">
        <f t="shared" si="113"/>
        <v>-7.7100000000000275</v>
      </c>
      <c r="AD99" s="1"/>
      <c r="AE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R99" s="1"/>
      <c r="AT99" s="1"/>
      <c r="AU99" s="1"/>
      <c r="AV99" s="1"/>
      <c r="AW99" s="1"/>
      <c r="AX99" s="1"/>
      <c r="AY99" s="1"/>
      <c r="BA99" s="1"/>
      <c r="BB99" s="1"/>
      <c r="BC99" s="1"/>
      <c r="BD99" s="1"/>
      <c r="BE99" s="1"/>
      <c r="BG99" s="1"/>
      <c r="BH99" s="1"/>
      <c r="BI99" s="1"/>
      <c r="BK99" s="1"/>
      <c r="BL99" s="1"/>
      <c r="BM99" s="1"/>
      <c r="BO99" s="1"/>
      <c r="BP99" s="1"/>
      <c r="BR99" s="1"/>
    </row>
    <row r="100" spans="1:70" x14ac:dyDescent="0.3">
      <c r="A100" s="6" t="s">
        <v>2</v>
      </c>
      <c r="B100" s="1"/>
      <c r="C100" s="1"/>
      <c r="D100" s="13">
        <f>$S$20-T4-$AA$17*(1-AL17)</f>
        <v>-55.470000000000013</v>
      </c>
      <c r="E100" s="13">
        <f t="shared" ref="E100:J100" si="114">$S$20-U4-$AA$17*(1-AM17)</f>
        <v>-56.690000000000026</v>
      </c>
      <c r="F100" s="13">
        <f t="shared" si="114"/>
        <v>-0.12000000000000099</v>
      </c>
      <c r="G100" s="13">
        <f t="shared" si="114"/>
        <v>-1.4600000000000364</v>
      </c>
      <c r="H100" s="13">
        <f t="shared" si="114"/>
        <v>-5.050000000000054</v>
      </c>
      <c r="I100" s="13">
        <f t="shared" si="114"/>
        <v>-7.370000000000001</v>
      </c>
      <c r="J100" s="13">
        <f t="shared" si="114"/>
        <v>-13.52</v>
      </c>
      <c r="R100" s="6" t="s">
        <v>4</v>
      </c>
      <c r="S100" s="1"/>
      <c r="T100" s="1"/>
      <c r="U100" s="1"/>
      <c r="V100" s="1">
        <f>$T$19-U2-$AA$17*(1-AT9)</f>
        <v>-51.899999999999984</v>
      </c>
      <c r="W100" s="1">
        <f t="shared" ref="W100:AA100" si="115">$T$19-V2-$AA$17*(1-AU9)</f>
        <v>-54.019999999999989</v>
      </c>
      <c r="X100" s="1">
        <f t="shared" si="115"/>
        <v>-56.039999999999992</v>
      </c>
      <c r="Y100" s="1">
        <f t="shared" si="115"/>
        <v>-59.160000000000004</v>
      </c>
      <c r="Z100" s="1">
        <f t="shared" si="115"/>
        <v>-5.3290705182007514E-15</v>
      </c>
      <c r="AA100" s="1">
        <f t="shared" si="115"/>
        <v>-5.1500000000000323</v>
      </c>
      <c r="AD100" s="1"/>
      <c r="AE100" s="1"/>
      <c r="AF100" s="1"/>
      <c r="AG100" s="1"/>
      <c r="AH100" s="1"/>
      <c r="AI100" s="1"/>
      <c r="AJ100" s="1"/>
      <c r="AL100" s="1"/>
      <c r="AM100" s="1"/>
      <c r="AN100" s="1"/>
      <c r="AO100" s="1"/>
      <c r="AP100" s="1"/>
      <c r="AQ100" s="1"/>
      <c r="AR100" s="1"/>
      <c r="AT100" s="1"/>
      <c r="AU100" s="1"/>
      <c r="AV100" s="1"/>
      <c r="AW100" s="1"/>
      <c r="AX100" s="1"/>
      <c r="AY100" s="1"/>
      <c r="BA100" s="1"/>
      <c r="BB100" s="1"/>
      <c r="BC100" s="1"/>
      <c r="BD100" s="1"/>
      <c r="BE100" s="1"/>
      <c r="BG100" s="1"/>
      <c r="BH100" s="1"/>
      <c r="BI100" s="1"/>
      <c r="BK100" s="1"/>
      <c r="BL100" s="1"/>
      <c r="BM100" s="1"/>
      <c r="BO100" s="1"/>
      <c r="BP100" s="1"/>
      <c r="BR100" s="1"/>
    </row>
    <row r="101" spans="1:70" x14ac:dyDescent="0.3">
      <c r="A101" s="6" t="s">
        <v>4</v>
      </c>
      <c r="B101" s="1"/>
      <c r="C101" s="1"/>
      <c r="D101" s="1"/>
      <c r="E101" s="13">
        <f>$T$20-U4-$AA$17*(1-AT17)</f>
        <v>-55.22999999999999</v>
      </c>
      <c r="F101" s="13">
        <f t="shared" ref="F101:J101" si="116">$T$20-V4-$AA$17*(1-AU17)</f>
        <v>-60.259999999999977</v>
      </c>
      <c r="G101" s="13">
        <f t="shared" si="116"/>
        <v>-3.5527136788005009E-15</v>
      </c>
      <c r="H101" s="13">
        <f t="shared" si="116"/>
        <v>-3.5900000000000212</v>
      </c>
      <c r="I101" s="13">
        <f t="shared" si="116"/>
        <v>-5.9099999999999682</v>
      </c>
      <c r="J101" s="13">
        <f t="shared" si="116"/>
        <v>-12.059999999999967</v>
      </c>
      <c r="R101" s="6" t="s">
        <v>6</v>
      </c>
      <c r="S101" s="1"/>
      <c r="T101" s="1"/>
      <c r="U101" s="1"/>
      <c r="V101" s="1"/>
      <c r="W101" s="1">
        <f>$U$19-V2-$AA$17*(1-BA9)</f>
        <v>-51.549999999999983</v>
      </c>
      <c r="X101" s="1">
        <f t="shared" ref="X101:AA101" si="117">$U$19-W2-$AA$17*(1-BB9)</f>
        <v>-53.569999999999986</v>
      </c>
      <c r="Y101" s="1">
        <f t="shared" si="117"/>
        <v>-56.69</v>
      </c>
      <c r="Z101" s="1">
        <f t="shared" si="117"/>
        <v>-59.13000000000001</v>
      </c>
      <c r="AA101" s="1">
        <f t="shared" si="117"/>
        <v>-2.6800000000000246</v>
      </c>
      <c r="AD101" s="1"/>
      <c r="AE101" s="1"/>
      <c r="AF101" s="1"/>
      <c r="AG101" s="1"/>
      <c r="AH101" s="1"/>
      <c r="AI101" s="1"/>
      <c r="AJ101" s="1"/>
      <c r="AL101" s="1"/>
      <c r="AM101" s="1"/>
      <c r="AN101" s="1"/>
      <c r="AO101" s="1"/>
      <c r="AP101" s="1"/>
      <c r="AQ101" s="1"/>
      <c r="AR101" s="1"/>
      <c r="AT101" s="1"/>
      <c r="AU101" s="1"/>
      <c r="AV101" s="1"/>
      <c r="AW101" s="1"/>
      <c r="AX101" s="1"/>
      <c r="AY101" s="1"/>
      <c r="BA101" s="1"/>
      <c r="BB101" s="1"/>
      <c r="BC101" s="1"/>
      <c r="BD101" s="1"/>
      <c r="BE101" s="1"/>
      <c r="BG101" s="1"/>
      <c r="BH101" s="1"/>
      <c r="BI101" s="1"/>
      <c r="BK101" s="1"/>
      <c r="BL101" s="1"/>
      <c r="BM101" s="1"/>
      <c r="BO101" s="1"/>
      <c r="BP101" s="1"/>
      <c r="BR101" s="1"/>
    </row>
    <row r="102" spans="1:70" x14ac:dyDescent="0.3">
      <c r="A102" s="6" t="s">
        <v>6</v>
      </c>
      <c r="B102" s="1"/>
      <c r="C102" s="1"/>
      <c r="D102" s="1"/>
      <c r="E102" s="1"/>
      <c r="F102" s="13">
        <f>$U$20-V4-$AA$17*(1-BA17)</f>
        <v>-58.919999999999959</v>
      </c>
      <c r="G102" s="13">
        <f t="shared" ref="G102:J102" si="118">$U$20-W4-$AA$17*(1-BB17)</f>
        <v>-60.259999999999991</v>
      </c>
      <c r="H102" s="13">
        <f t="shared" si="118"/>
        <v>-2.2500000000000036</v>
      </c>
      <c r="I102" s="13">
        <f t="shared" si="118"/>
        <v>-4.5699999999999505</v>
      </c>
      <c r="J102" s="13">
        <f t="shared" si="118"/>
        <v>-10.719999999999949</v>
      </c>
      <c r="R102" s="6" t="s">
        <v>8</v>
      </c>
      <c r="S102" s="1"/>
      <c r="T102" s="1"/>
      <c r="U102" s="1"/>
      <c r="V102" s="1"/>
      <c r="W102" s="1"/>
      <c r="X102" s="1"/>
      <c r="Y102" s="1">
        <f>$V$19-X2-$AA$17*(1-BG9)</f>
        <v>-51.640000000000029</v>
      </c>
      <c r="Z102" s="1">
        <f t="shared" ref="Z102:AA102" si="119">$V$19-Y2-$AA$17*(1-BH9)</f>
        <v>-54.080000000000034</v>
      </c>
      <c r="AA102" s="1">
        <f t="shared" si="119"/>
        <v>-59.230000000000061</v>
      </c>
      <c r="AD102" s="1"/>
      <c r="AE102" s="1"/>
      <c r="AF102" s="1"/>
      <c r="AG102" s="1"/>
      <c r="AH102" s="1"/>
      <c r="AI102" s="1"/>
      <c r="AJ102" s="1"/>
      <c r="AL102" s="1"/>
      <c r="AM102" s="1"/>
      <c r="AN102" s="1"/>
      <c r="AO102" s="1"/>
      <c r="AP102" s="1"/>
      <c r="AQ102" s="1"/>
      <c r="AR102" s="1"/>
      <c r="AT102" s="1"/>
      <c r="AU102" s="1"/>
      <c r="AV102" s="1"/>
      <c r="AW102" s="1"/>
      <c r="AX102" s="1"/>
      <c r="AY102" s="1"/>
      <c r="BA102" s="1"/>
      <c r="BB102" s="1"/>
      <c r="BC102" s="1"/>
      <c r="BD102" s="1"/>
      <c r="BE102" s="1"/>
      <c r="BG102" s="1"/>
      <c r="BH102" s="1"/>
      <c r="BI102" s="1"/>
      <c r="BK102" s="1"/>
      <c r="BL102" s="1"/>
      <c r="BM102" s="1"/>
      <c r="BO102" s="1"/>
      <c r="BP102" s="1"/>
      <c r="BR102" s="1"/>
    </row>
    <row r="103" spans="1:70" x14ac:dyDescent="0.3">
      <c r="A103" s="6" t="s">
        <v>8</v>
      </c>
      <c r="B103" s="1"/>
      <c r="C103" s="1"/>
      <c r="D103" s="1"/>
      <c r="E103" s="1"/>
      <c r="F103" s="1"/>
      <c r="G103" s="1"/>
      <c r="H103" s="13">
        <f>$V$20-X4-$AA$17*(1-BG17)</f>
        <v>-59.16</v>
      </c>
      <c r="I103" s="13">
        <f t="shared" ref="I103:J103" si="120">$V$20-Y4-$AA$17*(1-BH17)</f>
        <v>-61.479999999999947</v>
      </c>
      <c r="J103" s="13">
        <f t="shared" si="120"/>
        <v>-6.0299999999999336</v>
      </c>
      <c r="R103" s="6" t="s">
        <v>9</v>
      </c>
      <c r="S103" s="1"/>
      <c r="T103" s="1"/>
      <c r="U103" s="1"/>
      <c r="V103" s="1"/>
      <c r="W103" s="1"/>
      <c r="X103" s="1"/>
      <c r="Y103" s="1">
        <f>$W$19-X2-$AA$17*(1-BK9)</f>
        <v>-49.440000000000026</v>
      </c>
      <c r="Z103" s="1">
        <f t="shared" ref="Z103:AA103" si="121">$W$19-Y2-$AA$17*(1-BL9)</f>
        <v>-51.880000000000038</v>
      </c>
      <c r="AA103" s="1">
        <f t="shared" si="121"/>
        <v>-57.030000000000058</v>
      </c>
      <c r="AD103" s="1"/>
      <c r="AE103" s="1"/>
      <c r="AF103" s="1"/>
      <c r="AG103" s="1"/>
      <c r="AH103" s="1"/>
      <c r="AI103" s="1"/>
      <c r="AJ103" s="1"/>
      <c r="AL103" s="1"/>
      <c r="AM103" s="1"/>
      <c r="AN103" s="1"/>
      <c r="AO103" s="1"/>
      <c r="AP103" s="1"/>
      <c r="AQ103" s="1"/>
      <c r="AR103" s="1"/>
      <c r="AT103" s="1"/>
      <c r="AU103" s="1"/>
      <c r="AV103" s="1"/>
      <c r="AW103" s="1"/>
      <c r="AX103" s="1"/>
      <c r="AY103" s="1"/>
      <c r="BA103" s="1"/>
      <c r="BB103" s="1"/>
      <c r="BC103" s="1"/>
      <c r="BD103" s="1"/>
      <c r="BE103" s="1"/>
      <c r="BG103" s="1"/>
      <c r="BH103" s="1"/>
      <c r="BI103" s="1"/>
      <c r="BK103" s="1"/>
      <c r="BL103" s="1"/>
      <c r="BM103" s="1"/>
      <c r="BO103" s="1"/>
      <c r="BP103" s="1"/>
      <c r="BR103" s="1"/>
    </row>
    <row r="104" spans="1:70" x14ac:dyDescent="0.3">
      <c r="A104" s="6" t="s">
        <v>9</v>
      </c>
      <c r="B104" s="1"/>
      <c r="C104" s="1"/>
      <c r="D104" s="1"/>
      <c r="E104" s="1"/>
      <c r="F104" s="1"/>
      <c r="G104" s="1"/>
      <c r="H104" s="13">
        <f>$W$20-X4-$AA$17*(1-BK17)</f>
        <v>-54.589999999999989</v>
      </c>
      <c r="I104" s="13">
        <f t="shared" ref="I104:J104" si="122">$W$20-Y4-$AA$17*(1-BL17)</f>
        <v>-56.90999999999994</v>
      </c>
      <c r="J104" s="13">
        <f t="shared" si="122"/>
        <v>-1.4599999999999298</v>
      </c>
      <c r="Q104" s="5"/>
      <c r="R104" s="6" t="s">
        <v>11</v>
      </c>
      <c r="S104" s="1"/>
      <c r="T104" s="1"/>
      <c r="U104" s="1"/>
      <c r="V104" s="1"/>
      <c r="W104" s="1"/>
      <c r="X104" s="1"/>
      <c r="Y104" s="1"/>
      <c r="Z104" s="1">
        <f>$X$19-Y2-$AA$17*(1-BO9)</f>
        <v>-49.389999999999972</v>
      </c>
      <c r="AA104" s="1">
        <f>$X$19-Z2-$AA$17*(1-BP9)</f>
        <v>-54.539999999999992</v>
      </c>
      <c r="AD104" s="1"/>
      <c r="AE104" s="1"/>
      <c r="AF104" s="1"/>
      <c r="AG104" s="1"/>
      <c r="AH104" s="1"/>
      <c r="AI104" s="1"/>
      <c r="AJ104" s="1"/>
      <c r="AL104" s="1"/>
      <c r="AM104" s="1"/>
      <c r="AN104" s="1"/>
      <c r="AO104" s="1"/>
      <c r="AP104" s="1"/>
      <c r="AQ104" s="1"/>
      <c r="AR104" s="1"/>
      <c r="AT104" s="1"/>
      <c r="AU104" s="1"/>
      <c r="AV104" s="1"/>
      <c r="AW104" s="1"/>
      <c r="AX104" s="1"/>
      <c r="AY104" s="1"/>
      <c r="BA104" s="1"/>
      <c r="BB104" s="1"/>
      <c r="BC104" s="1"/>
      <c r="BD104" s="1"/>
      <c r="BE104" s="1"/>
      <c r="BG104" s="1"/>
      <c r="BH104" s="1"/>
      <c r="BI104" s="1"/>
      <c r="BK104" s="1"/>
      <c r="BL104" s="1"/>
      <c r="BM104" s="1"/>
      <c r="BO104" s="1"/>
      <c r="BP104" s="1"/>
      <c r="BR104" s="1"/>
    </row>
    <row r="105" spans="1:70" x14ac:dyDescent="0.3">
      <c r="A105" s="6" t="s">
        <v>11</v>
      </c>
      <c r="B105" s="1"/>
      <c r="C105" s="1"/>
      <c r="D105" s="1"/>
      <c r="E105" s="1"/>
      <c r="F105" s="1"/>
      <c r="G105" s="1"/>
      <c r="H105" s="1"/>
      <c r="I105" s="13">
        <f>$X$20-Y4-$AA$17*(1-BO17)</f>
        <v>-55.449999999999939</v>
      </c>
      <c r="J105" s="13">
        <f>$X$20-Z4-$AA$17*(1-BP17)</f>
        <v>7.1054273576010019E-14</v>
      </c>
      <c r="R105" s="6" t="s">
        <v>13</v>
      </c>
      <c r="S105" s="1"/>
      <c r="T105" s="1"/>
      <c r="U105" s="1"/>
      <c r="V105" s="1"/>
      <c r="W105" s="1"/>
      <c r="X105" s="1"/>
      <c r="Y105" s="1"/>
      <c r="Z105" s="1"/>
      <c r="AA105" s="1">
        <f>$Y$19-Z2-$AA$17*(1-BR9)</f>
        <v>-52.219999999999985</v>
      </c>
      <c r="AD105" s="1"/>
      <c r="AE105" s="1"/>
      <c r="AF105" s="1"/>
      <c r="AG105" s="1"/>
      <c r="AH105" s="1"/>
      <c r="AI105" s="1"/>
      <c r="AJ105" s="1"/>
      <c r="AL105" s="1"/>
      <c r="AM105" s="1"/>
      <c r="AN105" s="1"/>
      <c r="AO105" s="1"/>
      <c r="AP105" s="1"/>
      <c r="AQ105" s="1"/>
      <c r="AR105" s="1"/>
      <c r="AT105" s="1"/>
      <c r="AU105" s="1"/>
      <c r="AV105" s="1"/>
      <c r="AW105" s="1"/>
      <c r="AX105" s="1"/>
      <c r="AY105" s="1"/>
      <c r="BA105" s="1"/>
      <c r="BB105" s="1"/>
      <c r="BC105" s="1"/>
      <c r="BD105" s="1"/>
      <c r="BE105" s="1"/>
      <c r="BG105" s="1"/>
      <c r="BH105" s="1"/>
      <c r="BI105" s="1"/>
      <c r="BK105" s="1"/>
      <c r="BL105" s="1"/>
      <c r="BM105" s="1"/>
      <c r="BO105" s="1"/>
      <c r="BP105" s="1"/>
      <c r="BR105" s="1"/>
    </row>
    <row r="106" spans="1:70" x14ac:dyDescent="0.3">
      <c r="A106" s="6" t="s">
        <v>13</v>
      </c>
      <c r="B106" s="1"/>
      <c r="C106" s="1"/>
      <c r="D106" s="1"/>
      <c r="E106" s="1"/>
      <c r="F106" s="1"/>
      <c r="G106" s="1"/>
      <c r="H106" s="1"/>
      <c r="I106" s="1"/>
      <c r="J106" s="13">
        <f>$Y$20-Z4-$AA$17*(1-BR17)</f>
        <v>-59.230000000000011</v>
      </c>
      <c r="R106" s="6" t="s">
        <v>15</v>
      </c>
      <c r="S106" s="1"/>
      <c r="T106" s="1"/>
      <c r="U106" s="1"/>
      <c r="V106" s="1"/>
      <c r="W106" s="1"/>
      <c r="X106" s="1"/>
      <c r="Y106" s="1"/>
      <c r="Z106" s="1"/>
      <c r="AA106" s="1"/>
      <c r="AD106" s="1"/>
      <c r="AE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BA106" s="1"/>
      <c r="BB106" s="1"/>
      <c r="BC106" s="1"/>
      <c r="BD106" s="1"/>
      <c r="BE106" s="1"/>
      <c r="BG106" s="1"/>
      <c r="BH106" s="1"/>
      <c r="BI106" s="1"/>
      <c r="BK106" s="1"/>
      <c r="BL106" s="1"/>
      <c r="BM106" s="1"/>
      <c r="BO106" s="1"/>
      <c r="BP106" s="1"/>
      <c r="BR106" s="1"/>
    </row>
    <row r="107" spans="1:70" x14ac:dyDescent="0.3">
      <c r="A107" s="6" t="s">
        <v>15</v>
      </c>
      <c r="B107" s="1"/>
      <c r="C107" s="1"/>
      <c r="D107" s="1"/>
      <c r="E107" s="1"/>
      <c r="F107" s="1"/>
      <c r="G107" s="1"/>
      <c r="H107" s="1"/>
      <c r="I107" s="1"/>
      <c r="J107" s="1"/>
      <c r="AD107" s="1"/>
      <c r="AE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R107" s="1"/>
      <c r="AT107" s="1"/>
      <c r="AU107" s="1"/>
      <c r="AV107" s="1"/>
      <c r="AW107" s="1"/>
      <c r="AX107" s="1"/>
      <c r="AY107" s="1"/>
      <c r="BA107" s="1"/>
      <c r="BB107" s="1"/>
      <c r="BC107" s="1"/>
      <c r="BD107" s="1"/>
      <c r="BE107" s="1"/>
      <c r="BG107" s="1"/>
      <c r="BH107" s="1"/>
      <c r="BI107" s="1"/>
      <c r="BK107" s="1"/>
      <c r="BL107" s="1"/>
      <c r="BM107" s="1"/>
      <c r="BO107" s="1"/>
      <c r="BP107" s="1"/>
      <c r="BR107" s="1"/>
    </row>
    <row r="108" spans="1:70" x14ac:dyDescent="0.3">
      <c r="R108" t="s">
        <v>43</v>
      </c>
      <c r="AD108" s="1"/>
      <c r="AE108" s="1"/>
      <c r="AF108" s="1"/>
      <c r="AG108" s="1"/>
      <c r="AH108" s="1"/>
      <c r="AI108" s="1"/>
      <c r="AJ108" s="1"/>
      <c r="AL108" s="1"/>
      <c r="AM108" s="1"/>
      <c r="AN108" s="1"/>
      <c r="AO108" s="1"/>
      <c r="AP108" s="1"/>
      <c r="AQ108" s="1"/>
      <c r="AR108" s="1"/>
      <c r="AT108" s="1"/>
      <c r="AU108" s="1"/>
      <c r="AV108" s="1"/>
      <c r="AW108" s="1"/>
      <c r="AX108" s="1"/>
      <c r="AY108" s="1"/>
      <c r="BA108" s="1"/>
      <c r="BB108" s="1"/>
      <c r="BC108" s="1"/>
      <c r="BD108" s="1"/>
      <c r="BE108" s="1"/>
      <c r="BG108" s="1"/>
      <c r="BH108" s="1"/>
      <c r="BI108" s="1"/>
      <c r="BK108" s="1"/>
      <c r="BL108" s="1"/>
      <c r="BM108" s="1"/>
      <c r="BO108" s="1"/>
      <c r="BP108" s="1"/>
      <c r="BR108" s="1"/>
    </row>
    <row r="109" spans="1:70" x14ac:dyDescent="0.3">
      <c r="A109" t="s">
        <v>76</v>
      </c>
      <c r="R109" s="1"/>
      <c r="S109" s="6" t="s">
        <v>1</v>
      </c>
      <c r="T109" s="6" t="s">
        <v>2</v>
      </c>
      <c r="U109" s="6" t="s">
        <v>4</v>
      </c>
      <c r="V109" s="6" t="s">
        <v>6</v>
      </c>
      <c r="W109" s="6" t="s">
        <v>8</v>
      </c>
      <c r="X109" s="6" t="s">
        <v>9</v>
      </c>
      <c r="Y109" s="6" t="s">
        <v>11</v>
      </c>
      <c r="Z109" s="6" t="s">
        <v>13</v>
      </c>
      <c r="AA109" s="6" t="s">
        <v>15</v>
      </c>
      <c r="AD109" s="1"/>
      <c r="AE109" s="1"/>
      <c r="AF109" s="1"/>
      <c r="AG109" s="1"/>
      <c r="AH109" s="1"/>
      <c r="AI109" s="1"/>
      <c r="AJ109" s="1"/>
      <c r="AL109" s="1"/>
      <c r="AM109" s="1"/>
      <c r="AN109" s="1"/>
      <c r="AO109" s="1"/>
      <c r="AP109" s="1"/>
      <c r="AQ109" s="1"/>
      <c r="AR109" s="1"/>
      <c r="AT109" s="1"/>
      <c r="AU109" s="1"/>
      <c r="AV109" s="1"/>
      <c r="AW109" s="1"/>
      <c r="AX109" s="1"/>
      <c r="AY109" s="1"/>
      <c r="BA109" s="1"/>
      <c r="BB109" s="1"/>
      <c r="BC109" s="1"/>
      <c r="BD109" s="1"/>
      <c r="BE109" s="1"/>
      <c r="BG109" s="1"/>
      <c r="BH109" s="1"/>
      <c r="BI109" s="1"/>
      <c r="BK109" s="1"/>
      <c r="BL109" s="1"/>
      <c r="BM109" s="1"/>
      <c r="BO109" s="1"/>
      <c r="BP109" s="1"/>
      <c r="BR109" s="1"/>
    </row>
    <row r="110" spans="1:70" x14ac:dyDescent="0.3">
      <c r="A110" s="1"/>
      <c r="B110" s="6" t="s">
        <v>1</v>
      </c>
      <c r="C110" s="6" t="s">
        <v>2</v>
      </c>
      <c r="D110" s="6" t="s">
        <v>4</v>
      </c>
      <c r="E110" s="6" t="s">
        <v>6</v>
      </c>
      <c r="F110" s="6" t="s">
        <v>8</v>
      </c>
      <c r="G110" s="6" t="s">
        <v>9</v>
      </c>
      <c r="H110" s="6" t="s">
        <v>11</v>
      </c>
      <c r="I110" s="6" t="s">
        <v>13</v>
      </c>
      <c r="J110" s="6" t="s">
        <v>15</v>
      </c>
      <c r="R110" s="6" t="s">
        <v>1</v>
      </c>
      <c r="S110" s="1"/>
      <c r="T110" s="1"/>
      <c r="U110" s="1">
        <f>$R$19-T3-$AA$17*(1-AD10)</f>
        <v>-59.459999999999994</v>
      </c>
      <c r="V110" s="1">
        <f t="shared" ref="V110:Z110" si="123">$R$19-U3-$AA$17*(1-AE10)</f>
        <v>-60.349999999999994</v>
      </c>
      <c r="W110" s="1">
        <f t="shared" si="123"/>
        <v>-1.9000000000000146</v>
      </c>
      <c r="X110" s="1">
        <f t="shared" si="123"/>
        <v>-3.2400000000000144</v>
      </c>
      <c r="Y110" s="1">
        <f t="shared" si="123"/>
        <v>-9.1299999999999937</v>
      </c>
      <c r="Z110" s="1">
        <f t="shared" si="123"/>
        <v>-10.470000000000036</v>
      </c>
      <c r="AA110" s="1">
        <f>$R$19-Z3-$AA$17*(1-AJ10)</f>
        <v>-15.400000000000057</v>
      </c>
      <c r="AD110" s="1"/>
      <c r="AE110" s="1"/>
      <c r="AF110" s="1"/>
      <c r="AG110" s="1"/>
      <c r="AH110" s="1"/>
      <c r="AI110" s="1"/>
      <c r="AJ110" s="1"/>
      <c r="AL110" s="1"/>
      <c r="AM110" s="1"/>
      <c r="AN110" s="1"/>
      <c r="AO110" s="1"/>
      <c r="AP110" s="1"/>
      <c r="AQ110" s="1"/>
      <c r="AR110" s="1"/>
      <c r="AT110" s="1"/>
      <c r="AU110" s="1"/>
      <c r="AV110" s="1"/>
      <c r="AW110" s="1"/>
      <c r="AX110" s="1"/>
      <c r="AY110" s="1"/>
      <c r="BA110" s="1"/>
      <c r="BB110" s="1"/>
      <c r="BC110" s="1"/>
      <c r="BD110" s="1"/>
      <c r="BE110" s="1"/>
      <c r="BG110" s="1"/>
      <c r="BH110" s="1"/>
      <c r="BI110" s="1"/>
      <c r="BK110" s="1"/>
      <c r="BL110" s="1"/>
      <c r="BM110" s="1"/>
      <c r="BO110" s="1"/>
      <c r="BP110" s="1"/>
      <c r="BR110" s="1"/>
    </row>
    <row r="111" spans="1:70" x14ac:dyDescent="0.3">
      <c r="A111" s="6" t="s">
        <v>1</v>
      </c>
      <c r="B111" s="1"/>
      <c r="C111" s="1"/>
      <c r="D111" s="13">
        <f>$R$20-T5-$AA$17*(1-AD18)</f>
        <v>-2.3200000000000038</v>
      </c>
      <c r="E111" s="13">
        <f t="shared" ref="E111:I111" si="124">$R$20-U5-$AA$17*(1-AE18)</f>
        <v>-4.7900000000000098</v>
      </c>
      <c r="F111" s="13">
        <f t="shared" si="124"/>
        <v>-9.9599999999999831</v>
      </c>
      <c r="G111" s="13">
        <f t="shared" si="124"/>
        <v>-9.9599999999999831</v>
      </c>
      <c r="H111" s="13">
        <f t="shared" si="124"/>
        <v>-14.530000000000047</v>
      </c>
      <c r="I111" s="13">
        <f t="shared" si="124"/>
        <v>-16.850000000000055</v>
      </c>
      <c r="J111" s="13">
        <f>$R$20-Z5-$AA$17*(1-AJ18)</f>
        <v>-20.680000000000064</v>
      </c>
      <c r="R111" s="6" t="s">
        <v>2</v>
      </c>
      <c r="S111" s="1"/>
      <c r="T111" s="1"/>
      <c r="U111" s="1">
        <f>$S$19-T3-$AA$17*(1-AL10)</f>
        <v>-56.45999999999998</v>
      </c>
      <c r="V111" s="1">
        <f t="shared" ref="V111:AA111" si="125">$S$19-U3-$AA$17*(1-AM10)</f>
        <v>-57.34999999999998</v>
      </c>
      <c r="W111" s="1">
        <f t="shared" si="125"/>
        <v>-60.500000000000007</v>
      </c>
      <c r="X111" s="1">
        <f t="shared" si="125"/>
        <v>-0.23999999999999666</v>
      </c>
      <c r="Y111" s="1">
        <f t="shared" si="125"/>
        <v>-6.1299999999999759</v>
      </c>
      <c r="Z111" s="1">
        <f t="shared" si="125"/>
        <v>-7.4700000000000184</v>
      </c>
      <c r="AA111" s="1">
        <f t="shared" si="125"/>
        <v>-12.400000000000039</v>
      </c>
      <c r="AD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R111" s="1"/>
      <c r="AT111" s="1"/>
      <c r="AU111" s="1"/>
      <c r="AV111" s="1"/>
      <c r="AW111" s="1"/>
      <c r="AX111" s="1"/>
      <c r="AY111" s="1"/>
      <c r="BA111" s="1"/>
      <c r="BB111" s="1"/>
      <c r="BC111" s="1"/>
      <c r="BD111" s="1"/>
      <c r="BE111" s="1"/>
      <c r="BG111" s="1"/>
      <c r="BH111" s="1"/>
      <c r="BI111" s="1"/>
      <c r="BK111" s="1"/>
      <c r="BL111" s="1"/>
      <c r="BM111" s="1"/>
      <c r="BO111" s="1"/>
      <c r="BP111" s="1"/>
      <c r="BR111" s="1"/>
    </row>
    <row r="112" spans="1:70" x14ac:dyDescent="0.3">
      <c r="A112" s="6" t="s">
        <v>2</v>
      </c>
      <c r="B112" s="1"/>
      <c r="C112" s="1"/>
      <c r="D112" s="13">
        <f>$S$20-T5-$AA$17*(1-AL18)</f>
        <v>-59.130000000000031</v>
      </c>
      <c r="E112" s="13">
        <f t="shared" ref="E112:J112" si="126">$S$20-U5-$AA$17*(1-AM18)</f>
        <v>-2.8421709430404007E-14</v>
      </c>
      <c r="F112" s="13">
        <f t="shared" si="126"/>
        <v>-5.1700000000000017</v>
      </c>
      <c r="G112" s="13">
        <f t="shared" si="126"/>
        <v>-5.1700000000000017</v>
      </c>
      <c r="H112" s="13">
        <f t="shared" si="126"/>
        <v>-9.7400000000000659</v>
      </c>
      <c r="I112" s="13">
        <f t="shared" si="126"/>
        <v>-12.060000000000073</v>
      </c>
      <c r="J112" s="13">
        <f t="shared" si="126"/>
        <v>-15.890000000000082</v>
      </c>
      <c r="R112" s="6" t="s">
        <v>4</v>
      </c>
      <c r="S112" s="1"/>
      <c r="T112" s="1"/>
      <c r="U112" s="1"/>
      <c r="V112" s="1">
        <f>$T$19-U3-$AA$17*(1-AT10)</f>
        <v>-54.789999999999978</v>
      </c>
      <c r="W112" s="1">
        <f t="shared" ref="W112:AA112" si="127">$T$19-V3-$AA$17*(1-AU10)</f>
        <v>-57.940000000000012</v>
      </c>
      <c r="X112" s="1">
        <f t="shared" si="127"/>
        <v>-59.280000000000008</v>
      </c>
      <c r="Y112" s="1">
        <f t="shared" si="127"/>
        <v>-3.5699999999999807</v>
      </c>
      <c r="Z112" s="1">
        <f t="shared" si="127"/>
        <v>-4.9100000000000232</v>
      </c>
      <c r="AA112" s="1">
        <f t="shared" si="127"/>
        <v>-9.8400000000000443</v>
      </c>
      <c r="AD112" s="1"/>
      <c r="AE112" s="1"/>
      <c r="AF112" s="1"/>
      <c r="AG112" s="1"/>
      <c r="AH112" s="1"/>
      <c r="AI112" s="1"/>
      <c r="AJ112" s="1"/>
      <c r="AL112" s="1"/>
      <c r="AM112" s="1"/>
      <c r="AN112" s="1"/>
      <c r="AO112" s="1"/>
      <c r="AP112" s="1"/>
      <c r="AQ112" s="1"/>
      <c r="AR112" s="1"/>
      <c r="AT112" s="1"/>
      <c r="AU112" s="1"/>
      <c r="AV112" s="1"/>
      <c r="AW112" s="1"/>
      <c r="AX112" s="1"/>
      <c r="AY112" s="1"/>
      <c r="BA112" s="1"/>
      <c r="BB112" s="1"/>
      <c r="BC112" s="1"/>
      <c r="BD112" s="1"/>
      <c r="BE112" s="1"/>
      <c r="BG112" s="1"/>
      <c r="BH112" s="1"/>
      <c r="BI112" s="1"/>
      <c r="BK112" s="1"/>
      <c r="BL112" s="1"/>
      <c r="BM112" s="1"/>
      <c r="BO112" s="1"/>
      <c r="BP112" s="1"/>
      <c r="BR112" s="1"/>
    </row>
    <row r="113" spans="1:70" x14ac:dyDescent="0.3">
      <c r="A113" s="6" t="s">
        <v>4</v>
      </c>
      <c r="B113" s="1"/>
      <c r="C113" s="1"/>
      <c r="D113" s="1"/>
      <c r="E113" s="13">
        <f>$T$20-U5-$AA$17*(1-AT18)</f>
        <v>-60.14</v>
      </c>
      <c r="F113" s="13">
        <f t="shared" ref="F113:J113" si="128">$T$20-V5-$AA$17*(1-AU18)</f>
        <v>-3.7099999999999689</v>
      </c>
      <c r="G113" s="13">
        <f t="shared" si="128"/>
        <v>-3.7099999999999689</v>
      </c>
      <c r="H113" s="13">
        <f t="shared" si="128"/>
        <v>-8.2800000000000331</v>
      </c>
      <c r="I113" s="13">
        <f t="shared" si="128"/>
        <v>-10.600000000000041</v>
      </c>
      <c r="J113" s="13">
        <f t="shared" si="128"/>
        <v>-14.430000000000049</v>
      </c>
      <c r="R113" s="6" t="s">
        <v>6</v>
      </c>
      <c r="S113" s="1"/>
      <c r="T113" s="1"/>
      <c r="U113" s="1"/>
      <c r="V113" s="1"/>
      <c r="W113" s="1">
        <f>$U$19-V3-$AA$17*(1-BA10)</f>
        <v>-55.47</v>
      </c>
      <c r="X113" s="1">
        <f t="shared" ref="X113:AA113" si="129">$U$19-W3-$AA$17*(1-BB10)</f>
        <v>-56.81</v>
      </c>
      <c r="Y113" s="1">
        <f t="shared" si="129"/>
        <v>-1.099999999999973</v>
      </c>
      <c r="Z113" s="1">
        <f t="shared" si="129"/>
        <v>-2.4400000000000155</v>
      </c>
      <c r="AA113" s="1">
        <f t="shared" si="129"/>
        <v>-7.3700000000000365</v>
      </c>
      <c r="AD113" s="1"/>
      <c r="AE113" s="1"/>
      <c r="AF113" s="1"/>
      <c r="AG113" s="1"/>
      <c r="AH113" s="1"/>
      <c r="AI113" s="1"/>
      <c r="AJ113" s="1"/>
      <c r="AL113" s="1"/>
      <c r="AM113" s="1"/>
      <c r="AN113" s="1"/>
      <c r="AO113" s="1"/>
      <c r="AP113" s="1"/>
      <c r="AQ113" s="1"/>
      <c r="AR113" s="1"/>
      <c r="AT113" s="1"/>
      <c r="AU113" s="1"/>
      <c r="AV113" s="1"/>
      <c r="AW113" s="1"/>
      <c r="AX113" s="1"/>
      <c r="AY113" s="1"/>
      <c r="BA113" s="1"/>
      <c r="BB113" s="1"/>
      <c r="BC113" s="1"/>
      <c r="BD113" s="1"/>
      <c r="BE113" s="1"/>
      <c r="BG113" s="1"/>
      <c r="BH113" s="1"/>
      <c r="BI113" s="1"/>
      <c r="BK113" s="1"/>
      <c r="BL113" s="1"/>
      <c r="BM113" s="1"/>
      <c r="BO113" s="1"/>
      <c r="BP113" s="1"/>
      <c r="BR113" s="1"/>
    </row>
    <row r="114" spans="1:70" x14ac:dyDescent="0.3">
      <c r="A114" s="6" t="s">
        <v>6</v>
      </c>
      <c r="B114" s="1"/>
      <c r="C114" s="1"/>
      <c r="D114" s="1"/>
      <c r="E114" s="1"/>
      <c r="F114" s="13">
        <f>$U$20-V5-$AA$17*(1-BA18)</f>
        <v>-2.3699999999999513</v>
      </c>
      <c r="G114" s="13">
        <f t="shared" ref="G114:J114" si="130">$U$20-W5-$AA$17*(1-BB18)</f>
        <v>-2.3699999999999513</v>
      </c>
      <c r="H114" s="13">
        <f t="shared" si="130"/>
        <v>-6.9400000000000155</v>
      </c>
      <c r="I114" s="13">
        <f t="shared" si="130"/>
        <v>-9.2600000000000229</v>
      </c>
      <c r="J114" s="13">
        <f t="shared" si="130"/>
        <v>-13.090000000000032</v>
      </c>
      <c r="R114" s="6" t="s">
        <v>8</v>
      </c>
      <c r="S114" s="1"/>
      <c r="T114" s="1"/>
      <c r="U114" s="1"/>
      <c r="V114" s="1"/>
      <c r="W114" s="1"/>
      <c r="X114" s="1"/>
      <c r="Y114" s="1">
        <f>$V$19-X3-$AA$17*(1-BG10)</f>
        <v>-57.650000000000006</v>
      </c>
      <c r="Z114" s="1">
        <f t="shared" ref="Z114:AA114" si="131">$V$19-Y3-$AA$17*(1-BH10)</f>
        <v>-58.990000000000052</v>
      </c>
      <c r="AA114" s="1">
        <f t="shared" si="131"/>
        <v>-2.3200000000000642</v>
      </c>
      <c r="AD114" s="1"/>
      <c r="AE114" s="1"/>
      <c r="AF114" s="1"/>
      <c r="AG114" s="1"/>
      <c r="AH114" s="1"/>
      <c r="AI114" s="1"/>
      <c r="AJ114" s="1"/>
      <c r="AL114" s="1"/>
      <c r="AM114" s="1"/>
      <c r="AN114" s="1"/>
      <c r="AO114" s="1"/>
      <c r="AP114" s="1"/>
      <c r="AQ114" s="1"/>
      <c r="AR114" s="1"/>
      <c r="AT114" s="1"/>
      <c r="AU114" s="1"/>
      <c r="AV114" s="1"/>
      <c r="AW114" s="1"/>
      <c r="AX114" s="1"/>
      <c r="AY114" s="1"/>
      <c r="BA114" s="1"/>
      <c r="BB114" s="1"/>
      <c r="BC114" s="1"/>
      <c r="BD114" s="1"/>
      <c r="BE114" s="1"/>
      <c r="BG114" s="1"/>
      <c r="BH114" s="1"/>
      <c r="BI114" s="1"/>
      <c r="BK114" s="1"/>
      <c r="BL114" s="1"/>
      <c r="BM114" s="1"/>
      <c r="BO114" s="1"/>
      <c r="BP114" s="1"/>
      <c r="BR114" s="1"/>
    </row>
    <row r="115" spans="1:70" x14ac:dyDescent="0.3">
      <c r="A115" s="6" t="s">
        <v>8</v>
      </c>
      <c r="B115" s="1"/>
      <c r="C115" s="1"/>
      <c r="D115" s="1"/>
      <c r="E115" s="1"/>
      <c r="F115" s="1"/>
      <c r="G115" s="1"/>
      <c r="H115" s="13">
        <f>$V$20-X5-$AA$17*(1-BG18)</f>
        <v>-2.25</v>
      </c>
      <c r="I115" s="13">
        <f t="shared" ref="I115:J115" si="132">$V$20-Y5-$AA$17*(1-BH18)</f>
        <v>-4.5700000000000074</v>
      </c>
      <c r="J115" s="13">
        <f t="shared" si="132"/>
        <v>-8.4000000000000163</v>
      </c>
      <c r="R115" s="6" t="s">
        <v>9</v>
      </c>
      <c r="S115" s="1"/>
      <c r="T115" s="1"/>
      <c r="U115" s="1"/>
      <c r="V115" s="1"/>
      <c r="W115" s="1"/>
      <c r="X115" s="1"/>
      <c r="Y115" s="6">
        <f>$W$19-X3-$AA$17*(1-BK10)</f>
        <v>-55.45000000000001</v>
      </c>
      <c r="Z115" s="6">
        <f t="shared" ref="Z115" si="133">$W$19-Y3-$AA$17*(1-BL10)</f>
        <v>-56.790000000000049</v>
      </c>
      <c r="AA115" s="6">
        <f>$W$19-Z3-$AA$17*(1-BM10)</f>
        <v>-0.12000000000006494</v>
      </c>
      <c r="AD115" s="1"/>
      <c r="AE115" s="1"/>
      <c r="AF115" s="1"/>
      <c r="AG115" s="1"/>
      <c r="AH115" s="1"/>
      <c r="AI115" s="1"/>
      <c r="AJ115" s="1"/>
      <c r="AL115" s="1"/>
      <c r="AM115" s="1"/>
      <c r="AN115" s="1"/>
      <c r="AO115" s="1"/>
      <c r="AP115" s="1"/>
      <c r="AQ115" s="1"/>
      <c r="AR115" s="1"/>
      <c r="AT115" s="1"/>
      <c r="AU115" s="1"/>
      <c r="AV115" s="1"/>
      <c r="AW115" s="1"/>
      <c r="AX115" s="1"/>
      <c r="AY115" s="1"/>
      <c r="BA115" s="1"/>
      <c r="BB115" s="1"/>
      <c r="BC115" s="1"/>
      <c r="BD115" s="1"/>
      <c r="BE115" s="1"/>
      <c r="BG115" s="1"/>
      <c r="BH115" s="1"/>
      <c r="BI115" s="1"/>
      <c r="BK115" s="1"/>
      <c r="BL115" s="1"/>
      <c r="BM115" s="1"/>
      <c r="BO115" s="1"/>
      <c r="BP115" s="1"/>
      <c r="BR115" s="1"/>
    </row>
    <row r="116" spans="1:70" x14ac:dyDescent="0.3">
      <c r="A116" s="6" t="s">
        <v>9</v>
      </c>
      <c r="B116" s="1"/>
      <c r="C116" s="1"/>
      <c r="D116" s="1"/>
      <c r="E116" s="1"/>
      <c r="F116" s="1"/>
      <c r="G116" s="1"/>
      <c r="H116" s="13">
        <f>$W$20-X5-$AA$17*(1-BK18)</f>
        <v>-59.28</v>
      </c>
      <c r="I116" s="13">
        <f t="shared" ref="I116:J116" si="134">$W$20-Y5-$AA$17*(1-BL18)</f>
        <v>-3.5527136788005009E-15</v>
      </c>
      <c r="J116" s="13">
        <f t="shared" si="134"/>
        <v>-3.8300000000000125</v>
      </c>
      <c r="R116" s="6" t="s">
        <v>11</v>
      </c>
      <c r="S116" s="1"/>
      <c r="T116" s="1"/>
      <c r="U116" s="1"/>
      <c r="V116" s="1"/>
      <c r="W116" s="1"/>
      <c r="X116" s="1"/>
      <c r="Y116" s="1"/>
      <c r="Z116" s="1">
        <f>$X$19-Y3-$AA$17*(1-BO10)</f>
        <v>-54.299999999999983</v>
      </c>
      <c r="AA116" s="1">
        <f>$X$19-Z3-$AA$17*(1-BP10)</f>
        <v>-59.230000000000004</v>
      </c>
      <c r="AD116" s="1"/>
      <c r="AE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R116" s="1"/>
      <c r="AT116" s="1"/>
      <c r="AU116" s="1"/>
      <c r="AV116" s="1"/>
      <c r="AW116" s="1"/>
      <c r="AX116" s="1"/>
      <c r="AY116" s="1"/>
      <c r="BA116" s="1"/>
      <c r="BB116" s="1"/>
      <c r="BC116" s="1"/>
      <c r="BD116" s="1"/>
      <c r="BE116" s="1"/>
      <c r="BG116" s="1"/>
      <c r="BH116" s="1"/>
      <c r="BI116" s="1"/>
      <c r="BK116" s="1"/>
      <c r="BL116" s="1"/>
      <c r="BM116" s="1"/>
      <c r="BO116" s="1"/>
      <c r="BP116" s="1"/>
      <c r="BR116" s="1"/>
    </row>
    <row r="117" spans="1:70" x14ac:dyDescent="0.3">
      <c r="A117" s="6" t="s">
        <v>11</v>
      </c>
      <c r="B117" s="1"/>
      <c r="C117" s="1"/>
      <c r="D117" s="1"/>
      <c r="E117" s="1"/>
      <c r="F117" s="1"/>
      <c r="G117" s="1"/>
      <c r="H117" s="1"/>
      <c r="I117" s="13">
        <f>$X$20-Y5-$AA$17*(1-BO18)</f>
        <v>-60.140000000000015</v>
      </c>
      <c r="J117" s="13">
        <f>$X$20-Z5-$AA$17*(1-BP18)</f>
        <v>-2.3700000000000117</v>
      </c>
      <c r="R117" s="6" t="s">
        <v>13</v>
      </c>
      <c r="S117" s="1"/>
      <c r="T117" s="1"/>
      <c r="U117" s="1"/>
      <c r="V117" s="1"/>
      <c r="W117" s="1"/>
      <c r="X117" s="1"/>
      <c r="Y117" s="1"/>
      <c r="Z117" s="1"/>
      <c r="AA117" s="1">
        <f>$Y$19-Z3-$AA$17*(1-BR10)</f>
        <v>-56.91</v>
      </c>
      <c r="AD117" s="1"/>
      <c r="AE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R117" s="1"/>
      <c r="AT117" s="1"/>
      <c r="AU117" s="1"/>
      <c r="AV117" s="1"/>
      <c r="AW117" s="1"/>
      <c r="AX117" s="1"/>
      <c r="AY117" s="1"/>
      <c r="BA117" s="1"/>
      <c r="BB117" s="1"/>
      <c r="BC117" s="1"/>
      <c r="BD117" s="1"/>
      <c r="BE117" s="1"/>
      <c r="BG117" s="1"/>
      <c r="BH117" s="1"/>
      <c r="BI117" s="1"/>
      <c r="BK117" s="1"/>
      <c r="BL117" s="1"/>
      <c r="BM117" s="1"/>
      <c r="BO117" s="1"/>
      <c r="BP117" s="1"/>
      <c r="BR117" s="1"/>
    </row>
    <row r="118" spans="1:70" x14ac:dyDescent="0.3">
      <c r="A118" s="6" t="s">
        <v>13</v>
      </c>
      <c r="B118" s="1"/>
      <c r="C118" s="1"/>
      <c r="D118" s="1"/>
      <c r="E118" s="1"/>
      <c r="F118" s="1"/>
      <c r="G118" s="1"/>
      <c r="H118" s="1"/>
      <c r="I118" s="1"/>
      <c r="J118" s="13">
        <f>$Y$20-Z5-$AA$17*(1-BR18)</f>
        <v>-8.5265128291212022E-14</v>
      </c>
      <c r="R118" s="6" t="s">
        <v>15</v>
      </c>
      <c r="S118" s="1"/>
      <c r="T118" s="1"/>
      <c r="U118" s="1"/>
      <c r="V118" s="1"/>
      <c r="W118" s="1"/>
      <c r="X118" s="1"/>
      <c r="Y118" s="1"/>
      <c r="Z118" s="1"/>
      <c r="AA118" s="1"/>
      <c r="AD118" s="1"/>
      <c r="AE118" s="1"/>
      <c r="AF118" s="1"/>
      <c r="AG118" s="1"/>
      <c r="AH118" s="1"/>
      <c r="AI118" s="1"/>
      <c r="AJ118" s="1"/>
      <c r="AL118" s="1"/>
      <c r="AM118" s="1"/>
      <c r="AN118" s="1"/>
      <c r="AO118" s="1"/>
      <c r="AP118" s="1"/>
      <c r="AQ118" s="1"/>
      <c r="AR118" s="1"/>
      <c r="AT118" s="1"/>
      <c r="AU118" s="1"/>
      <c r="AV118" s="1"/>
      <c r="AW118" s="1"/>
      <c r="AX118" s="1"/>
      <c r="AY118" s="1"/>
      <c r="BA118" s="1"/>
      <c r="BB118" s="1"/>
      <c r="BC118" s="1"/>
      <c r="BD118" s="1"/>
      <c r="BE118" s="1"/>
      <c r="BG118" s="1"/>
      <c r="BH118" s="1"/>
      <c r="BI118" s="1"/>
      <c r="BK118" s="1"/>
      <c r="BL118" s="1"/>
      <c r="BM118" s="1"/>
      <c r="BO118" s="1"/>
      <c r="BP118" s="1"/>
      <c r="BR118" s="1"/>
    </row>
    <row r="119" spans="1:70" x14ac:dyDescent="0.3">
      <c r="A119" s="6" t="s">
        <v>15</v>
      </c>
      <c r="B119" s="1"/>
      <c r="C119" s="1"/>
      <c r="D119" s="1"/>
      <c r="E119" s="1"/>
      <c r="F119" s="1"/>
      <c r="G119" s="1"/>
      <c r="H119" s="1"/>
      <c r="I119" s="1"/>
      <c r="J119" s="1"/>
      <c r="AD119" s="1"/>
      <c r="AE119" s="1"/>
      <c r="AF119" s="1"/>
      <c r="AG119" s="1"/>
      <c r="AH119" s="1"/>
      <c r="AI119" s="1"/>
      <c r="AJ119" s="1"/>
      <c r="AL119" s="1"/>
      <c r="AM119" s="1"/>
      <c r="AN119" s="1"/>
      <c r="AO119" s="1"/>
      <c r="AP119" s="1"/>
      <c r="AQ119" s="1"/>
      <c r="AR119" s="1"/>
      <c r="AT119" s="1"/>
      <c r="AU119" s="1"/>
      <c r="AV119" s="1"/>
      <c r="AW119" s="1"/>
      <c r="AX119" s="1"/>
      <c r="AY119" s="1"/>
      <c r="BA119" s="1"/>
      <c r="BB119" s="1"/>
      <c r="BC119" s="1"/>
      <c r="BD119" s="1"/>
      <c r="BE119" s="1"/>
      <c r="BG119" s="1"/>
      <c r="BH119" s="1"/>
      <c r="BI119" s="1"/>
      <c r="BK119" s="1"/>
      <c r="BL119" s="1"/>
      <c r="BM119" s="1"/>
      <c r="BO119" s="1"/>
      <c r="BP119" s="1"/>
      <c r="BR119" s="1"/>
    </row>
    <row r="120" spans="1:70" x14ac:dyDescent="0.3">
      <c r="R120" t="s">
        <v>44</v>
      </c>
      <c r="AD120" s="1"/>
      <c r="AE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R120" s="1"/>
      <c r="AT120" s="1"/>
      <c r="AU120" s="1"/>
      <c r="AV120" s="1"/>
      <c r="AW120" s="1"/>
      <c r="AX120" s="1"/>
      <c r="AY120" s="1"/>
      <c r="BA120" s="1"/>
      <c r="BB120" s="1"/>
      <c r="BC120" s="1"/>
      <c r="BD120" s="1"/>
      <c r="BE120" s="1"/>
      <c r="BG120" s="1"/>
      <c r="BH120" s="1"/>
      <c r="BI120" s="1"/>
      <c r="BK120" s="1"/>
      <c r="BL120" s="1"/>
      <c r="BM120" s="1"/>
      <c r="BO120" s="1"/>
      <c r="BP120" s="1"/>
      <c r="BR120" s="1"/>
    </row>
    <row r="121" spans="1:70" x14ac:dyDescent="0.3">
      <c r="A121" t="s">
        <v>77</v>
      </c>
      <c r="R121" s="1"/>
      <c r="S121" s="6" t="s">
        <v>1</v>
      </c>
      <c r="T121" s="6" t="s">
        <v>2</v>
      </c>
      <c r="U121" s="6" t="s">
        <v>4</v>
      </c>
      <c r="V121" s="6" t="s">
        <v>6</v>
      </c>
      <c r="W121" s="6" t="s">
        <v>8</v>
      </c>
      <c r="X121" s="6" t="s">
        <v>9</v>
      </c>
      <c r="Y121" s="6" t="s">
        <v>11</v>
      </c>
      <c r="Z121" s="6" t="s">
        <v>13</v>
      </c>
      <c r="AA121" s="6" t="s">
        <v>15</v>
      </c>
      <c r="AD121" s="1"/>
      <c r="AE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R121" s="1"/>
      <c r="AT121" s="1"/>
      <c r="AU121" s="1"/>
      <c r="AV121" s="1"/>
      <c r="AW121" s="1"/>
      <c r="AX121" s="1"/>
      <c r="AY121" s="1"/>
      <c r="BA121" s="1"/>
      <c r="BB121" s="1"/>
      <c r="BC121" s="1"/>
      <c r="BD121" s="1"/>
      <c r="BE121" s="1"/>
      <c r="BG121" s="1"/>
      <c r="BH121" s="1"/>
      <c r="BI121" s="1"/>
      <c r="BK121" s="1"/>
      <c r="BL121" s="1"/>
      <c r="BM121" s="1"/>
      <c r="BO121" s="1"/>
      <c r="BP121" s="1"/>
      <c r="BR121" s="1"/>
    </row>
    <row r="122" spans="1:70" x14ac:dyDescent="0.3">
      <c r="A122" s="1"/>
      <c r="B122" s="6" t="s">
        <v>1</v>
      </c>
      <c r="C122" s="6" t="s">
        <v>2</v>
      </c>
      <c r="D122" s="6" t="s">
        <v>4</v>
      </c>
      <c r="E122" s="6" t="s">
        <v>6</v>
      </c>
      <c r="F122" s="6" t="s">
        <v>8</v>
      </c>
      <c r="G122" s="6" t="s">
        <v>9</v>
      </c>
      <c r="H122" s="6" t="s">
        <v>11</v>
      </c>
      <c r="I122" s="6" t="s">
        <v>13</v>
      </c>
      <c r="J122" s="6" t="s">
        <v>15</v>
      </c>
      <c r="R122" s="6" t="s">
        <v>1</v>
      </c>
      <c r="S122" s="1"/>
      <c r="T122" s="1"/>
      <c r="U122" s="1">
        <f>$R$19-T4-$AA$17*(1-AD11)</f>
        <v>-1.7799999999999923</v>
      </c>
      <c r="V122" s="1">
        <f t="shared" ref="V122:Z122" si="135">$R$19-U4-$AA$17*(1-AE11)</f>
        <v>-3.0000000000000053</v>
      </c>
      <c r="W122" s="1">
        <f t="shared" si="135"/>
        <v>-8.0299999999999923</v>
      </c>
      <c r="X122" s="1">
        <f t="shared" si="135"/>
        <v>-9.3700000000000276</v>
      </c>
      <c r="Y122" s="1">
        <f t="shared" si="135"/>
        <v>-12.960000000000045</v>
      </c>
      <c r="Z122" s="1">
        <f t="shared" si="135"/>
        <v>-15.279999999999992</v>
      </c>
      <c r="AA122" s="1">
        <f>$R$19-Z4-$AA$17*(1-AJ11)</f>
        <v>-21.429999999999993</v>
      </c>
      <c r="AD122" s="1"/>
      <c r="AE122" s="1"/>
      <c r="AF122" s="1"/>
      <c r="AG122" s="1"/>
      <c r="AH122" s="1"/>
      <c r="AI122" s="1"/>
      <c r="AJ122" s="1"/>
      <c r="AL122" s="1"/>
      <c r="AM122" s="1"/>
      <c r="AN122" s="1"/>
      <c r="AO122" s="1"/>
      <c r="AP122" s="1"/>
      <c r="AQ122" s="1"/>
      <c r="AR122" s="1"/>
      <c r="AT122" s="1"/>
      <c r="AU122" s="1"/>
      <c r="AV122" s="1"/>
      <c r="AW122" s="1"/>
      <c r="AX122" s="1"/>
      <c r="AY122" s="1"/>
      <c r="BA122" s="1"/>
      <c r="BB122" s="1"/>
      <c r="BC122" s="1"/>
      <c r="BD122" s="1"/>
      <c r="BE122" s="1"/>
      <c r="BG122" s="1"/>
      <c r="BH122" s="1"/>
      <c r="BI122" s="1"/>
      <c r="BK122" s="1"/>
      <c r="BL122" s="1"/>
      <c r="BM122" s="1"/>
      <c r="BO122" s="1"/>
      <c r="BP122" s="1"/>
      <c r="BR122" s="1"/>
    </row>
    <row r="123" spans="1:70" x14ac:dyDescent="0.3">
      <c r="A123" s="6" t="s">
        <v>1</v>
      </c>
      <c r="B123" s="1"/>
      <c r="C123" s="1"/>
      <c r="D123" s="13">
        <f>T16-$R$6-$AA$17*(1-AD19)</f>
        <v>-8.150000000004173</v>
      </c>
      <c r="E123" s="13">
        <f t="shared" ref="E123:J123" si="136">U16-$R$6-$AA$17*(1-AE19)</f>
        <v>-7.1400000000000192</v>
      </c>
      <c r="F123" s="13">
        <f t="shared" si="136"/>
        <v>-4.7200000000000317</v>
      </c>
      <c r="G123" s="13">
        <f t="shared" si="136"/>
        <v>-1.3399999999999999</v>
      </c>
      <c r="H123" s="13">
        <f t="shared" si="136"/>
        <v>-61.480000000000011</v>
      </c>
      <c r="I123" s="13">
        <f t="shared" si="136"/>
        <v>-59.04</v>
      </c>
      <c r="J123" s="13">
        <f t="shared" si="136"/>
        <v>-51.759999999999977</v>
      </c>
      <c r="R123" s="6" t="s">
        <v>2</v>
      </c>
      <c r="S123" s="1"/>
      <c r="T123" s="1"/>
      <c r="U123" s="1">
        <f>$S$19-T4-$AA$17*(1-AL11)</f>
        <v>-60.379999999999981</v>
      </c>
      <c r="V123" s="1">
        <f t="shared" ref="V123:AA123" si="137">$S$19-U4-$AA$17*(1-AM11)</f>
        <v>1.2434497875801753E-14</v>
      </c>
      <c r="W123" s="1">
        <f t="shared" si="137"/>
        <v>-5.0299999999999745</v>
      </c>
      <c r="X123" s="1">
        <f t="shared" si="137"/>
        <v>-6.3700000000000099</v>
      </c>
      <c r="Y123" s="1">
        <f t="shared" si="137"/>
        <v>-9.9600000000000275</v>
      </c>
      <c r="Z123" s="1">
        <f t="shared" si="137"/>
        <v>-12.279999999999974</v>
      </c>
      <c r="AA123" s="1">
        <f t="shared" si="137"/>
        <v>-18.429999999999971</v>
      </c>
      <c r="AD123" s="1"/>
      <c r="AE123" s="1"/>
      <c r="AF123" s="1"/>
      <c r="AG123" s="1"/>
      <c r="AH123" s="1"/>
      <c r="AI123" s="1"/>
      <c r="AJ123" s="1"/>
      <c r="AL123" s="1"/>
      <c r="AM123" s="1"/>
      <c r="AN123" s="1"/>
      <c r="AO123" s="1"/>
      <c r="AP123" s="1"/>
      <c r="AQ123" s="1"/>
      <c r="AR123" s="1"/>
      <c r="AT123" s="1"/>
      <c r="AU123" s="1"/>
      <c r="AV123" s="1"/>
      <c r="AW123" s="1"/>
      <c r="AX123" s="1"/>
      <c r="AY123" s="1"/>
      <c r="BA123" s="1"/>
      <c r="BB123" s="1"/>
      <c r="BC123" s="1"/>
      <c r="BD123" s="1"/>
      <c r="BE123" s="1"/>
      <c r="BG123" s="1"/>
      <c r="BH123" s="1"/>
      <c r="BI123" s="1"/>
      <c r="BK123" s="1"/>
      <c r="BL123" s="1"/>
      <c r="BM123" s="1"/>
      <c r="BO123" s="1"/>
      <c r="BP123" s="1"/>
      <c r="BR123" s="1"/>
    </row>
    <row r="124" spans="1:70" x14ac:dyDescent="0.3">
      <c r="A124" s="6" t="s">
        <v>2</v>
      </c>
      <c r="B124" s="1"/>
      <c r="C124" s="1"/>
      <c r="D124" s="13">
        <f>T16-$S$6-$AA$17*(1-AL19)</f>
        <v>-10.710000000004158</v>
      </c>
      <c r="E124" s="13">
        <f t="shared" ref="E124:J124" si="138">U16-$S$6-$AA$17*(1-AM19)</f>
        <v>-9.7000000000000028</v>
      </c>
      <c r="F124" s="13">
        <f t="shared" si="138"/>
        <v>-7.2800000000000145</v>
      </c>
      <c r="G124" s="13">
        <f t="shared" si="138"/>
        <v>-3.8999999999999826</v>
      </c>
      <c r="H124" s="13">
        <f t="shared" si="138"/>
        <v>-2.4399999999999835</v>
      </c>
      <c r="I124" s="13">
        <f t="shared" si="138"/>
        <v>2.4868995751603507E-14</v>
      </c>
      <c r="J124" s="13">
        <f t="shared" si="138"/>
        <v>-54.319999999999958</v>
      </c>
      <c r="R124" s="6" t="s">
        <v>4</v>
      </c>
      <c r="S124" s="1"/>
      <c r="T124" s="1"/>
      <c r="U124" s="1"/>
      <c r="V124" s="1">
        <f>$T$19-U4-$AA$17*(1-AT11)</f>
        <v>-59.04</v>
      </c>
      <c r="W124" s="1">
        <f t="shared" ref="W124:AA124" si="139">$T$19-V4-$AA$17*(1-AU11)</f>
        <v>-2.4699999999999793</v>
      </c>
      <c r="X124" s="1">
        <f t="shared" si="139"/>
        <v>-3.8100000000000147</v>
      </c>
      <c r="Y124" s="1">
        <f t="shared" si="139"/>
        <v>-7.4000000000000323</v>
      </c>
      <c r="Z124" s="1">
        <f t="shared" si="139"/>
        <v>-9.7199999999999793</v>
      </c>
      <c r="AA124" s="1">
        <f t="shared" si="139"/>
        <v>-15.869999999999978</v>
      </c>
      <c r="AD124" s="1"/>
      <c r="AE124" s="1"/>
      <c r="AF124" s="1"/>
      <c r="AG124" s="1"/>
      <c r="AH124" s="1"/>
      <c r="AI124" s="1"/>
      <c r="AJ124" s="1"/>
      <c r="AL124" s="1"/>
      <c r="AM124" s="1"/>
      <c r="AN124" s="1"/>
      <c r="AO124" s="1"/>
      <c r="AP124" s="1"/>
      <c r="AQ124" s="1"/>
      <c r="AR124" s="1"/>
      <c r="AT124" s="1"/>
      <c r="AU124" s="1"/>
      <c r="AV124" s="1"/>
      <c r="AW124" s="1"/>
      <c r="AX124" s="1"/>
      <c r="AY124" s="1"/>
      <c r="BA124" s="1"/>
      <c r="BB124" s="1"/>
      <c r="BC124" s="1"/>
      <c r="BD124" s="1"/>
      <c r="BE124" s="1"/>
      <c r="BG124" s="1"/>
      <c r="BH124" s="1"/>
      <c r="BI124" s="1"/>
      <c r="BK124" s="1"/>
      <c r="BL124" s="1"/>
      <c r="BM124" s="1"/>
      <c r="BO124" s="1"/>
      <c r="BP124" s="1"/>
      <c r="BR124" s="1"/>
    </row>
    <row r="125" spans="1:70" x14ac:dyDescent="0.3">
      <c r="A125" s="6" t="s">
        <v>4</v>
      </c>
      <c r="B125" s="1"/>
      <c r="C125" s="1"/>
      <c r="D125" s="1"/>
      <c r="E125" s="13">
        <f>U16-$T$6-$AA$17*(1-AT19)</f>
        <v>-13.270000000000032</v>
      </c>
      <c r="F125" s="13">
        <f t="shared" ref="F125:J125" si="140">V16-$T$6-$AA$17*(1-AU19)</f>
        <v>-10.850000000000044</v>
      </c>
      <c r="G125" s="13">
        <f t="shared" si="140"/>
        <v>-7.4700000000000131</v>
      </c>
      <c r="H125" s="13">
        <f t="shared" si="140"/>
        <v>-6.010000000000014</v>
      </c>
      <c r="I125" s="13">
        <f t="shared" si="140"/>
        <v>-3.5700000000000056</v>
      </c>
      <c r="J125" s="13">
        <f t="shared" si="140"/>
        <v>-57.889999999999986</v>
      </c>
      <c r="R125" s="6" t="s">
        <v>6</v>
      </c>
      <c r="S125" s="1"/>
      <c r="T125" s="1"/>
      <c r="U125" s="1"/>
      <c r="V125" s="1"/>
      <c r="W125" s="1">
        <f>$U$19-V4-$AA$17*(1-BA11)</f>
        <v>2.8421709430404007E-14</v>
      </c>
      <c r="X125" s="1">
        <f t="shared" ref="X125:AA125" si="141">$U$19-W4-$AA$17*(1-BB11)</f>
        <v>-1.340000000000007</v>
      </c>
      <c r="Y125" s="1">
        <f t="shared" si="141"/>
        <v>-4.9300000000000246</v>
      </c>
      <c r="Z125" s="1">
        <f t="shared" si="141"/>
        <v>-7.2499999999999716</v>
      </c>
      <c r="AA125" s="1">
        <f t="shared" si="141"/>
        <v>-13.39999999999997</v>
      </c>
      <c r="AD125" s="1"/>
      <c r="AE125" s="1"/>
      <c r="AF125" s="1"/>
      <c r="AG125" s="1"/>
      <c r="AH125" s="1"/>
      <c r="AI125" s="1"/>
      <c r="AJ125" s="1"/>
      <c r="AL125" s="1"/>
      <c r="AM125" s="1"/>
      <c r="AN125" s="1"/>
      <c r="AO125" s="1"/>
      <c r="AP125" s="1"/>
      <c r="AQ125" s="1"/>
      <c r="AR125" s="1"/>
      <c r="AT125" s="1"/>
      <c r="AU125" s="1"/>
      <c r="AV125" s="1"/>
      <c r="AW125" s="1"/>
      <c r="AX125" s="1"/>
      <c r="AY125" s="1"/>
      <c r="BA125" s="1"/>
      <c r="BB125" s="1"/>
      <c r="BC125" s="1"/>
      <c r="BD125" s="1"/>
      <c r="BE125" s="1"/>
      <c r="BG125" s="1"/>
      <c r="BH125" s="1"/>
      <c r="BI125" s="1"/>
      <c r="BK125" s="1"/>
      <c r="BL125" s="1"/>
      <c r="BM125" s="1"/>
      <c r="BO125" s="1"/>
      <c r="BP125" s="1"/>
      <c r="BR125" s="1"/>
    </row>
    <row r="126" spans="1:70" x14ac:dyDescent="0.3">
      <c r="A126" s="6" t="s">
        <v>6</v>
      </c>
      <c r="B126" s="1"/>
      <c r="C126" s="1"/>
      <c r="D126" s="1"/>
      <c r="E126" s="1"/>
      <c r="F126" s="13">
        <f>V16-$U$6-$AA$17*(1-BA19)</f>
        <v>-12.190000000000062</v>
      </c>
      <c r="G126" s="13">
        <f t="shared" ref="G126:J126" si="142">W16-$U$6-$AA$17*(1-BB19)</f>
        <v>-8.8100000000000307</v>
      </c>
      <c r="H126" s="13">
        <f t="shared" si="142"/>
        <v>-7.3500000000000316</v>
      </c>
      <c r="I126" s="13">
        <f t="shared" si="142"/>
        <v>-4.9100000000000232</v>
      </c>
      <c r="J126" s="13">
        <f t="shared" si="142"/>
        <v>-59.230000000000004</v>
      </c>
      <c r="R126" s="6" t="s">
        <v>8</v>
      </c>
      <c r="S126" s="1"/>
      <c r="T126" s="1"/>
      <c r="U126" s="1"/>
      <c r="V126" s="1"/>
      <c r="W126" s="1"/>
      <c r="X126" s="1"/>
      <c r="Y126" s="1">
        <f>$V$19-X4-$AA$17*(1-BG11)</f>
        <v>-61.480000000000061</v>
      </c>
      <c r="Z126" s="1">
        <f t="shared" ref="Z126:AA126" si="143">$V$19-Y4-$AA$17*(1-BH11)</f>
        <v>-2.1999999999999993</v>
      </c>
      <c r="AA126" s="1">
        <f t="shared" si="143"/>
        <v>-8.3499999999999979</v>
      </c>
      <c r="AD126" s="1"/>
      <c r="AE126" s="1"/>
      <c r="AF126" s="1"/>
      <c r="AG126" s="1"/>
      <c r="AH126" s="1"/>
      <c r="AI126" s="1"/>
      <c r="AJ126" s="1"/>
      <c r="AL126" s="1"/>
      <c r="AM126" s="1"/>
      <c r="AN126" s="1"/>
      <c r="AO126" s="1"/>
      <c r="AP126" s="1"/>
      <c r="AQ126" s="1"/>
      <c r="AR126" s="1"/>
      <c r="AT126" s="1"/>
      <c r="AU126" s="1"/>
      <c r="AV126" s="1"/>
      <c r="AW126" s="1"/>
      <c r="AX126" s="1"/>
      <c r="AY126" s="1"/>
      <c r="BA126" s="1"/>
      <c r="BB126" s="1"/>
      <c r="BC126" s="1"/>
      <c r="BD126" s="1"/>
      <c r="BE126" s="1"/>
      <c r="BG126" s="1"/>
      <c r="BH126" s="1"/>
      <c r="BI126" s="1"/>
      <c r="BK126" s="1"/>
      <c r="BL126" s="1"/>
      <c r="BM126" s="1"/>
      <c r="BO126" s="1"/>
      <c r="BP126" s="1"/>
      <c r="BR126" s="1"/>
    </row>
    <row r="127" spans="1:70" x14ac:dyDescent="0.3">
      <c r="A127" s="6" t="s">
        <v>8</v>
      </c>
      <c r="B127" s="1"/>
      <c r="C127" s="1"/>
      <c r="D127" s="1"/>
      <c r="E127" s="1"/>
      <c r="F127" s="1"/>
      <c r="G127" s="1"/>
      <c r="H127" s="13">
        <f>X16-$V$6-$AA$17*(1-BG19)</f>
        <v>-12.160000000000048</v>
      </c>
      <c r="I127" s="13">
        <f t="shared" ref="I127:J127" si="144">Y16-$V$6-$AA$17*(1-BH19)</f>
        <v>-9.7200000000000397</v>
      </c>
      <c r="J127" s="13">
        <f t="shared" si="144"/>
        <v>-2.4400000000000119</v>
      </c>
      <c r="R127" s="6" t="s">
        <v>9</v>
      </c>
      <c r="S127" s="1"/>
      <c r="T127" s="1"/>
      <c r="U127" s="1"/>
      <c r="V127" s="1"/>
      <c r="W127" s="1"/>
      <c r="X127" s="1"/>
      <c r="Y127" s="1">
        <f>$W$19-X4-$AA$17*(1-BK11)</f>
        <v>-59.280000000000058</v>
      </c>
      <c r="Z127" s="1">
        <f t="shared" ref="Z127:AA127" si="145">$W$19-Y4-$AA$17*(1-BL11)</f>
        <v>0</v>
      </c>
      <c r="AA127" s="1">
        <f t="shared" si="145"/>
        <v>-6.1499999999999986</v>
      </c>
      <c r="AD127" s="1"/>
      <c r="AE127" s="1"/>
      <c r="AF127" s="1"/>
      <c r="AG127" s="1"/>
      <c r="AH127" s="1"/>
      <c r="AI127" s="1"/>
      <c r="AJ127" s="1"/>
      <c r="AL127" s="1"/>
      <c r="AM127" s="1"/>
      <c r="AN127" s="1"/>
      <c r="AO127" s="1"/>
      <c r="AP127" s="1"/>
      <c r="AQ127" s="1"/>
      <c r="AR127" s="1"/>
      <c r="AT127" s="1"/>
      <c r="AU127" s="1"/>
      <c r="AV127" s="1"/>
      <c r="AW127" s="1"/>
      <c r="AX127" s="1"/>
      <c r="AY127" s="1"/>
      <c r="BA127" s="1"/>
      <c r="BB127" s="1"/>
      <c r="BC127" s="1"/>
      <c r="BD127" s="1"/>
      <c r="BE127" s="1"/>
      <c r="BG127" s="1"/>
      <c r="BH127" s="1"/>
      <c r="BI127" s="1"/>
      <c r="BK127" s="1"/>
      <c r="BL127" s="1"/>
      <c r="BM127" s="1"/>
      <c r="BO127" s="1"/>
      <c r="BP127" s="1"/>
      <c r="BR127" s="1"/>
    </row>
    <row r="128" spans="1:70" x14ac:dyDescent="0.3">
      <c r="A128" s="6" t="s">
        <v>9</v>
      </c>
      <c r="B128" s="1"/>
      <c r="C128" s="1"/>
      <c r="D128" s="1"/>
      <c r="E128" s="1"/>
      <c r="F128" s="1"/>
      <c r="G128" s="1"/>
      <c r="H128" s="13">
        <f>X16-$W$6-$AA$17*(1-BK19)</f>
        <v>-14.530000000000053</v>
      </c>
      <c r="I128" s="13">
        <f t="shared" ref="I128" si="146">Y16-$W$6-$AA$17*(1-BL19)</f>
        <v>-12.090000000000044</v>
      </c>
      <c r="J128" s="13">
        <f>Z16-$W$6-$AA$17*(1-BM19)</f>
        <v>-4.8100000000000165</v>
      </c>
      <c r="R128" s="6" t="s">
        <v>11</v>
      </c>
      <c r="S128" s="1"/>
      <c r="T128" s="1"/>
      <c r="U128" s="1"/>
      <c r="V128" s="1"/>
      <c r="W128" s="1"/>
      <c r="X128" s="1"/>
      <c r="Y128" s="1"/>
      <c r="Z128" s="1">
        <f>$X$19-Y4-$AA$17*(1-BO11)</f>
        <v>-59.109999999999943</v>
      </c>
      <c r="AA128" s="1">
        <f>$X$19-Z4-$AA$17*(1-BP11)</f>
        <v>-3.6599999999999326</v>
      </c>
      <c r="AD128" s="1"/>
      <c r="AE128" s="1"/>
      <c r="AF128" s="1"/>
      <c r="AG128" s="1"/>
      <c r="AH128" s="1"/>
      <c r="AI128" s="1"/>
      <c r="AJ128" s="1"/>
      <c r="AL128" s="1"/>
      <c r="AM128" s="1"/>
      <c r="AN128" s="1"/>
      <c r="AO128" s="1"/>
      <c r="AP128" s="1"/>
      <c r="AQ128" s="1"/>
      <c r="AR128" s="1"/>
      <c r="AT128" s="1"/>
      <c r="AU128" s="1"/>
      <c r="AV128" s="1"/>
      <c r="AW128" s="1"/>
      <c r="AX128" s="1"/>
      <c r="AY128" s="1"/>
      <c r="BA128" s="1"/>
      <c r="BB128" s="1"/>
      <c r="BC128" s="1"/>
      <c r="BD128" s="1"/>
      <c r="BE128" s="1"/>
      <c r="BG128" s="1"/>
      <c r="BH128" s="1"/>
      <c r="BI128" s="1"/>
      <c r="BK128" s="1"/>
      <c r="BL128" s="1"/>
      <c r="BM128" s="1"/>
      <c r="BO128" s="1"/>
      <c r="BP128" s="1"/>
      <c r="BR128" s="1"/>
    </row>
    <row r="129" spans="1:70" x14ac:dyDescent="0.3">
      <c r="A129" s="6" t="s">
        <v>11</v>
      </c>
      <c r="B129" s="1"/>
      <c r="C129" s="1"/>
      <c r="D129" s="1"/>
      <c r="E129" s="1"/>
      <c r="F129" s="1"/>
      <c r="G129" s="1"/>
      <c r="H129" s="1"/>
      <c r="I129" s="13">
        <f>Y16-$X$6-$AA$17*(1-BO19)</f>
        <v>-15.630000000000043</v>
      </c>
      <c r="J129" s="13">
        <f>Z16-$X$6-$AA$17*(1-BP19)</f>
        <v>-8.3500000000000156</v>
      </c>
      <c r="R129" s="6" t="s">
        <v>13</v>
      </c>
      <c r="S129" s="1"/>
      <c r="T129" s="1"/>
      <c r="U129" s="1"/>
      <c r="V129" s="1"/>
      <c r="W129" s="1"/>
      <c r="X129" s="1"/>
      <c r="Y129" s="1"/>
      <c r="Z129" s="1"/>
      <c r="AA129" s="1">
        <f>$Y$19-Z4-$AA$17*(1-BR11)</f>
        <v>-1.3399999999999253</v>
      </c>
      <c r="AD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R129" s="1"/>
      <c r="AT129" s="1"/>
      <c r="AU129" s="1"/>
      <c r="AV129" s="1"/>
      <c r="AW129" s="1"/>
      <c r="AX129" s="1"/>
      <c r="AY129" s="1"/>
      <c r="BA129" s="1"/>
      <c r="BB129" s="1"/>
      <c r="BC129" s="1"/>
      <c r="BD129" s="1"/>
      <c r="BE129" s="1"/>
      <c r="BG129" s="1"/>
      <c r="BH129" s="1"/>
      <c r="BI129" s="1"/>
      <c r="BK129" s="1"/>
      <c r="BL129" s="1"/>
      <c r="BM129" s="1"/>
      <c r="BO129" s="1"/>
      <c r="BP129" s="1"/>
      <c r="BR129" s="1"/>
    </row>
    <row r="130" spans="1:70" x14ac:dyDescent="0.3">
      <c r="A130" s="6" t="s">
        <v>13</v>
      </c>
      <c r="B130" s="1"/>
      <c r="C130" s="1"/>
      <c r="D130" s="1"/>
      <c r="E130" s="1"/>
      <c r="F130" s="1"/>
      <c r="G130" s="1"/>
      <c r="H130" s="1"/>
      <c r="I130" s="1"/>
      <c r="J130" s="13">
        <f>Z16-$Y$6-$AA$17*(1-BR19)</f>
        <v>-10.719999999999946</v>
      </c>
      <c r="R130" s="6" t="s">
        <v>15</v>
      </c>
      <c r="S130" s="1"/>
      <c r="T130" s="1"/>
      <c r="U130" s="1"/>
      <c r="V130" s="1"/>
      <c r="W130" s="1"/>
      <c r="X130" s="1"/>
      <c r="Y130" s="1"/>
      <c r="Z130" s="1"/>
      <c r="AA130" s="11"/>
      <c r="AD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R130" s="1"/>
      <c r="AT130" s="1"/>
      <c r="AU130" s="1"/>
      <c r="AV130" s="1"/>
      <c r="AW130" s="1"/>
      <c r="AX130" s="1"/>
      <c r="AY130" s="1"/>
      <c r="BA130" s="1"/>
      <c r="BB130" s="1"/>
      <c r="BC130" s="1"/>
      <c r="BD130" s="1"/>
      <c r="BE130" s="1"/>
      <c r="BG130" s="1"/>
      <c r="BH130" s="1"/>
      <c r="BI130" s="1"/>
      <c r="BK130" s="1"/>
      <c r="BL130" s="1"/>
      <c r="BM130" s="1"/>
      <c r="BO130" s="1"/>
      <c r="BP130" s="1"/>
      <c r="BR130" s="1"/>
    </row>
    <row r="131" spans="1:70" x14ac:dyDescent="0.3">
      <c r="A131" s="6" t="s">
        <v>15</v>
      </c>
      <c r="B131" s="1"/>
      <c r="C131" s="1"/>
      <c r="D131" s="1"/>
      <c r="E131" s="1"/>
      <c r="F131" s="1"/>
      <c r="G131" s="1"/>
      <c r="H131" s="1"/>
      <c r="I131" s="1"/>
      <c r="J131" s="1"/>
      <c r="AD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R131" s="1"/>
      <c r="AT131" s="1"/>
      <c r="AU131" s="1"/>
      <c r="AV131" s="1"/>
      <c r="AW131" s="1"/>
      <c r="AX131" s="1"/>
      <c r="AY131" s="1"/>
      <c r="BA131" s="1"/>
      <c r="BB131" s="1"/>
      <c r="BC131" s="1"/>
      <c r="BD131" s="1"/>
      <c r="BE131" s="1"/>
      <c r="BG131" s="1"/>
      <c r="BH131" s="1"/>
      <c r="BI131" s="1"/>
      <c r="BK131" s="1"/>
      <c r="BL131" s="1"/>
      <c r="BM131" s="1"/>
      <c r="BO131" s="1"/>
      <c r="BP131" s="1"/>
      <c r="BR131" s="1"/>
    </row>
    <row r="132" spans="1:70" x14ac:dyDescent="0.3">
      <c r="R132" t="s">
        <v>39</v>
      </c>
      <c r="AD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R132" s="1"/>
      <c r="AT132" s="1"/>
      <c r="AU132" s="1"/>
      <c r="AV132" s="1"/>
      <c r="AW132" s="1"/>
      <c r="AX132" s="1"/>
      <c r="AY132" s="1"/>
      <c r="BA132" s="1"/>
      <c r="BB132" s="1"/>
      <c r="BC132" s="1"/>
      <c r="BD132" s="1"/>
      <c r="BE132" s="1"/>
      <c r="BG132" s="1"/>
      <c r="BH132" s="1"/>
      <c r="BI132" s="1"/>
      <c r="BK132" s="1"/>
      <c r="BL132" s="1"/>
      <c r="BM132" s="1"/>
      <c r="BO132" s="1"/>
      <c r="BP132" s="1"/>
      <c r="BR132" s="1"/>
    </row>
    <row r="133" spans="1:70" x14ac:dyDescent="0.3">
      <c r="A133" t="s">
        <v>78</v>
      </c>
      <c r="R133" s="1"/>
      <c r="S133" s="6" t="s">
        <v>1</v>
      </c>
      <c r="T133" s="6" t="s">
        <v>2</v>
      </c>
      <c r="U133" s="6" t="s">
        <v>4</v>
      </c>
      <c r="V133" s="6" t="s">
        <v>6</v>
      </c>
      <c r="W133" s="6" t="s">
        <v>8</v>
      </c>
      <c r="X133" s="6" t="s">
        <v>9</v>
      </c>
      <c r="Y133" s="6" t="s">
        <v>11</v>
      </c>
      <c r="Z133" s="6" t="s">
        <v>13</v>
      </c>
      <c r="AA133" s="6" t="s">
        <v>15</v>
      </c>
      <c r="AD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R133" s="1"/>
      <c r="AT133" s="1"/>
      <c r="AU133" s="1"/>
      <c r="AV133" s="1"/>
      <c r="AW133" s="1"/>
      <c r="AX133" s="1"/>
      <c r="AY133" s="1"/>
      <c r="BA133" s="1"/>
      <c r="BB133" s="1"/>
      <c r="BC133" s="1"/>
      <c r="BD133" s="1"/>
      <c r="BE133" s="1"/>
      <c r="BG133" s="1"/>
      <c r="BH133" s="1"/>
      <c r="BI133" s="1"/>
      <c r="BK133" s="1"/>
      <c r="BL133" s="1"/>
      <c r="BM133" s="1"/>
      <c r="BO133" s="1"/>
      <c r="BP133" s="1"/>
      <c r="BR133" s="1"/>
    </row>
    <row r="134" spans="1:70" x14ac:dyDescent="0.3">
      <c r="A134" s="1"/>
      <c r="B134" s="6" t="s">
        <v>1</v>
      </c>
      <c r="C134" s="6" t="s">
        <v>2</v>
      </c>
      <c r="D134" s="6" t="s">
        <v>4</v>
      </c>
      <c r="E134" s="6" t="s">
        <v>6</v>
      </c>
      <c r="F134" s="6" t="s">
        <v>8</v>
      </c>
      <c r="G134" s="6" t="s">
        <v>9</v>
      </c>
      <c r="H134" s="6" t="s">
        <v>11</v>
      </c>
      <c r="I134" s="6" t="s">
        <v>13</v>
      </c>
      <c r="J134" s="6" t="s">
        <v>15</v>
      </c>
      <c r="R134" s="6" t="s">
        <v>1</v>
      </c>
      <c r="S134" s="1"/>
      <c r="T134" s="1"/>
      <c r="U134" s="1">
        <f>T16-$R$5-$AA$17*(1-AD12)</f>
        <v>-3.9000000000041544</v>
      </c>
      <c r="V134" s="1">
        <f t="shared" ref="V134:Z134" si="147">U16-$R$5-$AA$17*(1-AE12)</f>
        <v>-2.8899999999999997</v>
      </c>
      <c r="W134" s="1">
        <f t="shared" si="147"/>
        <v>-0.47000000000001219</v>
      </c>
      <c r="X134" s="1">
        <f t="shared" si="147"/>
        <v>-58.689999999999991</v>
      </c>
      <c r="Y134" s="1">
        <f t="shared" si="147"/>
        <v>-57.22999999999999</v>
      </c>
      <c r="Z134" s="1">
        <f t="shared" si="147"/>
        <v>-54.789999999999978</v>
      </c>
      <c r="AA134" s="1">
        <f>Z16-$R$5-$AA$17*(1-AJ12)</f>
        <v>-47.509999999999955</v>
      </c>
      <c r="AD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R134" s="1"/>
      <c r="AT134" s="1"/>
      <c r="AU134" s="1"/>
      <c r="AV134" s="1"/>
      <c r="AW134" s="1"/>
      <c r="AX134" s="1"/>
      <c r="AY134" s="1"/>
      <c r="BA134" s="1"/>
      <c r="BB134" s="1"/>
      <c r="BC134" s="1"/>
      <c r="BD134" s="1"/>
      <c r="BE134" s="1"/>
      <c r="BG134" s="1"/>
      <c r="BH134" s="1"/>
      <c r="BI134" s="1"/>
      <c r="BK134" s="1"/>
      <c r="BL134" s="1"/>
      <c r="BM134" s="1"/>
      <c r="BO134" s="1"/>
      <c r="BP134" s="1"/>
      <c r="BR134" s="1"/>
    </row>
    <row r="135" spans="1:70" x14ac:dyDescent="0.3">
      <c r="A135" s="6" t="s">
        <v>1</v>
      </c>
      <c r="B135" s="1"/>
      <c r="C135" s="1"/>
      <c r="D135" s="13">
        <f>T17-$R$6-$AA$17*(1-AD20)</f>
        <v>-5.1400000000000237</v>
      </c>
      <c r="E135" s="13">
        <f t="shared" ref="E135:J135" si="148">U17-$R$6-$AA$17*(1-AE20)</f>
        <v>-4.250000000000024</v>
      </c>
      <c r="F135" s="13">
        <f t="shared" si="148"/>
        <v>-1.2199999999999953</v>
      </c>
      <c r="G135" s="13">
        <f t="shared" si="148"/>
        <v>-59.28</v>
      </c>
      <c r="H135" s="13">
        <f t="shared" si="148"/>
        <v>-55.470000000000027</v>
      </c>
      <c r="I135" s="13">
        <f t="shared" si="148"/>
        <v>-54.129999999999981</v>
      </c>
      <c r="J135" s="13">
        <f t="shared" si="148"/>
        <v>-47.069999999999965</v>
      </c>
      <c r="R135" s="6" t="s">
        <v>2</v>
      </c>
      <c r="S135" s="1"/>
      <c r="T135" s="1"/>
      <c r="U135" s="1">
        <f>T16-$S$5-$AA$17*(1-AL12)</f>
        <v>-6.9300000000041821</v>
      </c>
      <c r="V135" s="1">
        <f t="shared" ref="V135:AA135" si="149">U16-$S$5-$AA$17*(1-AM12)</f>
        <v>-5.9200000000000275</v>
      </c>
      <c r="W135" s="1">
        <f t="shared" si="149"/>
        <v>-3.50000000000004</v>
      </c>
      <c r="X135" s="1">
        <f t="shared" si="149"/>
        <v>-0.1200000000000081</v>
      </c>
      <c r="Y135" s="1">
        <f t="shared" si="149"/>
        <v>-60.260000000000019</v>
      </c>
      <c r="Z135" s="1">
        <f t="shared" si="149"/>
        <v>-57.820000000000007</v>
      </c>
      <c r="AA135" s="1">
        <f t="shared" si="149"/>
        <v>-50.539999999999978</v>
      </c>
      <c r="AD135" s="1"/>
      <c r="AE135" s="1"/>
      <c r="AF135" s="1"/>
      <c r="AG135" s="1"/>
      <c r="AH135" s="1"/>
      <c r="AI135" s="1"/>
      <c r="AJ135" s="1"/>
      <c r="AL135" s="1"/>
      <c r="AM135" s="1"/>
      <c r="AN135" s="1"/>
      <c r="AO135" s="1"/>
      <c r="AP135" s="1"/>
      <c r="AQ135" s="1"/>
      <c r="AR135" s="1"/>
      <c r="AT135" s="1"/>
      <c r="AU135" s="1"/>
      <c r="AV135" s="1"/>
      <c r="AW135" s="1"/>
      <c r="AX135" s="1"/>
      <c r="AY135" s="1"/>
      <c r="BA135" s="1"/>
      <c r="BB135" s="1"/>
      <c r="BC135" s="1"/>
      <c r="BD135" s="1"/>
      <c r="BE135" s="1"/>
      <c r="BG135" s="1"/>
      <c r="BH135" s="1"/>
      <c r="BI135" s="1"/>
      <c r="BK135" s="1"/>
      <c r="BL135" s="1"/>
      <c r="BM135" s="1"/>
      <c r="BO135" s="1"/>
      <c r="BP135" s="1"/>
      <c r="BR135" s="1"/>
    </row>
    <row r="136" spans="1:70" x14ac:dyDescent="0.3">
      <c r="A136" s="6" t="s">
        <v>2</v>
      </c>
      <c r="B136" s="1"/>
      <c r="C136" s="1"/>
      <c r="D136" s="13">
        <f>T17-$S$6-$AA$17*(1-AL20)</f>
        <v>-7.7000000000000064</v>
      </c>
      <c r="E136" s="13">
        <f t="shared" ref="E136:J136" si="150">U17-$S$6-$AA$17*(1-AM20)</f>
        <v>-6.8100000000000067</v>
      </c>
      <c r="F136" s="13">
        <f t="shared" si="150"/>
        <v>-3.779999999999978</v>
      </c>
      <c r="G136" s="13">
        <f t="shared" si="150"/>
        <v>-0.2399999999999789</v>
      </c>
      <c r="H136" s="13">
        <f t="shared" si="150"/>
        <v>-58.030000000000008</v>
      </c>
      <c r="I136" s="13">
        <f t="shared" si="150"/>
        <v>-56.689999999999962</v>
      </c>
      <c r="J136" s="13">
        <f t="shared" si="150"/>
        <v>-49.629999999999946</v>
      </c>
      <c r="R136" s="6" t="s">
        <v>4</v>
      </c>
      <c r="S136" s="1"/>
      <c r="T136" s="1"/>
      <c r="U136" s="1"/>
      <c r="V136" s="1">
        <f>U16-$T$5-$AA$17*(1-AT12)</f>
        <v>-9.4600000000000222</v>
      </c>
      <c r="W136" s="1">
        <f t="shared" ref="W136:AA136" si="151">V16-$T$5-$AA$17*(1-AU12)</f>
        <v>-7.0400000000000356</v>
      </c>
      <c r="X136" s="1">
        <f t="shared" si="151"/>
        <v>-3.6600000000000037</v>
      </c>
      <c r="Y136" s="1">
        <f t="shared" si="151"/>
        <v>-2.2000000000000046</v>
      </c>
      <c r="Z136" s="1">
        <f t="shared" si="151"/>
        <v>-61.360000000000007</v>
      </c>
      <c r="AA136" s="1">
        <f t="shared" si="151"/>
        <v>-54.079999999999977</v>
      </c>
      <c r="AD136" s="1"/>
      <c r="AE136" s="1"/>
      <c r="AF136" s="1"/>
      <c r="AG136" s="1"/>
      <c r="AH136" s="1"/>
      <c r="AI136" s="1"/>
      <c r="AJ136" s="1"/>
      <c r="AL136" s="1"/>
      <c r="AM136" s="1"/>
      <c r="AN136" s="1"/>
      <c r="AO136" s="1"/>
      <c r="AP136" s="1"/>
      <c r="AQ136" s="1"/>
      <c r="AR136" s="1"/>
      <c r="AT136" s="1"/>
      <c r="AU136" s="1"/>
      <c r="AV136" s="1"/>
      <c r="AW136" s="1"/>
      <c r="AX136" s="1"/>
      <c r="AY136" s="1"/>
      <c r="BA136" s="1"/>
      <c r="BB136" s="1"/>
      <c r="BC136" s="1"/>
      <c r="BD136" s="1"/>
      <c r="BE136" s="1"/>
      <c r="BG136" s="1"/>
      <c r="BH136" s="1"/>
      <c r="BI136" s="1"/>
      <c r="BK136" s="1"/>
      <c r="BL136" s="1"/>
      <c r="BM136" s="1"/>
      <c r="BO136" s="1"/>
      <c r="BP136" s="1"/>
      <c r="BR136" s="1"/>
    </row>
    <row r="137" spans="1:70" x14ac:dyDescent="0.3">
      <c r="A137" s="6" t="s">
        <v>4</v>
      </c>
      <c r="B137" s="1"/>
      <c r="C137" s="1"/>
      <c r="D137" s="1"/>
      <c r="E137" s="13">
        <f>U17-$T$6-$AA$17*(1-AT20)</f>
        <v>-10.380000000000038</v>
      </c>
      <c r="F137" s="13">
        <f t="shared" ref="F137:J137" si="152">V17-$T$6-$AA$17*(1-AU20)</f>
        <v>-7.3500000000000085</v>
      </c>
      <c r="G137" s="13">
        <f t="shared" si="152"/>
        <v>-3.8100000000000094</v>
      </c>
      <c r="H137" s="13">
        <f t="shared" si="152"/>
        <v>-2.8421709430404007E-14</v>
      </c>
      <c r="I137" s="13">
        <f t="shared" si="152"/>
        <v>-60.259999999999991</v>
      </c>
      <c r="J137" s="13">
        <f t="shared" si="152"/>
        <v>-53.199999999999974</v>
      </c>
      <c r="R137" s="6" t="s">
        <v>6</v>
      </c>
      <c r="S137" s="1"/>
      <c r="T137" s="1"/>
      <c r="U137" s="1"/>
      <c r="V137" s="1"/>
      <c r="W137" s="1">
        <f>V16-$U$5-$AA$17*(1-BA12)</f>
        <v>-9.5100000000000406</v>
      </c>
      <c r="X137" s="1">
        <f t="shared" ref="X137:AA137" si="153">W16-$U$5-$AA$17*(1-BB12)</f>
        <v>-6.1300000000000097</v>
      </c>
      <c r="Y137" s="1">
        <f t="shared" si="153"/>
        <v>-4.6700000000000106</v>
      </c>
      <c r="Z137" s="1">
        <f t="shared" si="153"/>
        <v>-2.2300000000000022</v>
      </c>
      <c r="AA137" s="1">
        <f t="shared" si="153"/>
        <v>-56.549999999999983</v>
      </c>
      <c r="AD137" s="1"/>
      <c r="AE137" s="1"/>
      <c r="AF137" s="1"/>
      <c r="AG137" s="1"/>
      <c r="AH137" s="1"/>
      <c r="AI137" s="1"/>
      <c r="AJ137" s="1"/>
      <c r="AL137" s="1"/>
      <c r="AM137" s="1"/>
      <c r="AN137" s="1"/>
      <c r="AO137" s="1"/>
      <c r="AP137" s="1"/>
      <c r="AQ137" s="1"/>
      <c r="AR137" s="1"/>
      <c r="AT137" s="1"/>
      <c r="AU137" s="1"/>
      <c r="AV137" s="1"/>
      <c r="AW137" s="1"/>
      <c r="AX137" s="1"/>
      <c r="AY137" s="1"/>
      <c r="BA137" s="1"/>
      <c r="BB137" s="1"/>
      <c r="BC137" s="1"/>
      <c r="BD137" s="1"/>
      <c r="BE137" s="1"/>
      <c r="BG137" s="1"/>
      <c r="BH137" s="1"/>
      <c r="BI137" s="1"/>
      <c r="BK137" s="1"/>
      <c r="BL137" s="1"/>
      <c r="BM137" s="1"/>
      <c r="BO137" s="1"/>
      <c r="BP137" s="1"/>
      <c r="BR137" s="1"/>
    </row>
    <row r="138" spans="1:70" x14ac:dyDescent="0.3">
      <c r="A138" s="6" t="s">
        <v>6</v>
      </c>
      <c r="B138" s="1"/>
      <c r="C138" s="1"/>
      <c r="D138" s="1"/>
      <c r="E138" s="1"/>
      <c r="F138" s="13">
        <f>V17-$U$6-$AA$17*(1-BA20)</f>
        <v>-8.6900000000000261</v>
      </c>
      <c r="G138" s="13">
        <f t="shared" ref="G138:J138" si="154">W17-$U$6-$AA$17*(1-BB20)</f>
        <v>-5.150000000000027</v>
      </c>
      <c r="H138" s="13">
        <f t="shared" si="154"/>
        <v>-1.340000000000046</v>
      </c>
      <c r="I138" s="13">
        <f t="shared" si="154"/>
        <v>-3.5527136788005009E-15</v>
      </c>
      <c r="J138" s="13">
        <f t="shared" si="154"/>
        <v>-54.539999999999992</v>
      </c>
      <c r="R138" s="6" t="s">
        <v>8</v>
      </c>
      <c r="S138" s="1"/>
      <c r="T138" s="1"/>
      <c r="U138" s="1"/>
      <c r="V138" s="1"/>
      <c r="W138" s="1"/>
      <c r="X138" s="1"/>
      <c r="Y138" s="1">
        <f>X16-$V$5-$AA$17*(1-BG12)</f>
        <v>-9.8399999999999839</v>
      </c>
      <c r="Z138" s="1">
        <f t="shared" ref="Z138:AA138" si="155">Y16-$V$5-$AA$17*(1-BH12)</f>
        <v>-7.3999999999999755</v>
      </c>
      <c r="AA138" s="1">
        <f t="shared" si="155"/>
        <v>-0.1199999999999477</v>
      </c>
      <c r="AD138" s="1"/>
      <c r="AE138" s="1"/>
      <c r="AF138" s="1"/>
      <c r="AG138" s="1"/>
      <c r="AH138" s="1"/>
      <c r="AI138" s="1"/>
      <c r="AJ138" s="1"/>
      <c r="AL138" s="1"/>
      <c r="AM138" s="1"/>
      <c r="AN138" s="1"/>
      <c r="AO138" s="1"/>
      <c r="AP138" s="1"/>
      <c r="AQ138" s="1"/>
      <c r="AR138" s="1"/>
      <c r="AT138" s="1"/>
      <c r="AU138" s="1"/>
      <c r="AV138" s="1"/>
      <c r="AW138" s="1"/>
      <c r="AX138" s="1"/>
      <c r="AY138" s="1"/>
      <c r="BA138" s="1"/>
      <c r="BB138" s="1"/>
      <c r="BC138" s="1"/>
      <c r="BD138" s="1"/>
      <c r="BE138" s="1"/>
      <c r="BG138" s="1"/>
      <c r="BH138" s="1"/>
      <c r="BI138" s="1"/>
      <c r="BK138" s="1"/>
      <c r="BL138" s="1"/>
      <c r="BM138" s="1"/>
      <c r="BO138" s="1"/>
      <c r="BP138" s="1"/>
      <c r="BR138" s="1"/>
    </row>
    <row r="139" spans="1:70" x14ac:dyDescent="0.3">
      <c r="A139" s="6" t="s">
        <v>8</v>
      </c>
      <c r="B139" s="1"/>
      <c r="C139" s="1"/>
      <c r="D139" s="1"/>
      <c r="E139" s="1"/>
      <c r="F139" s="1"/>
      <c r="G139" s="1"/>
      <c r="H139" s="13">
        <f>X17-$V$6-$AA$17*(1-BG20)</f>
        <v>-6.1500000000000625</v>
      </c>
      <c r="I139" s="13">
        <f t="shared" ref="I139:J139" si="156">Y17-$V$6-$AA$17*(1-BH20)</f>
        <v>-4.81000000000002</v>
      </c>
      <c r="J139" s="13">
        <f t="shared" si="156"/>
        <v>-59.350000000000009</v>
      </c>
      <c r="R139" s="6" t="s">
        <v>9</v>
      </c>
      <c r="S139" s="1"/>
      <c r="T139" s="1"/>
      <c r="U139" s="1"/>
      <c r="V139" s="1"/>
      <c r="W139" s="1"/>
      <c r="X139" s="1"/>
      <c r="Y139" s="1">
        <f>X16-$W$5-$AA$17*(1-BK12)</f>
        <v>-9.8399999999999839</v>
      </c>
      <c r="Z139" s="1">
        <f t="shared" ref="Z139:AA139" si="157">Y16-$W$5-$AA$17*(1-BL12)</f>
        <v>-7.3999999999999755</v>
      </c>
      <c r="AA139" s="1">
        <f t="shared" si="157"/>
        <v>-0.1199999999999477</v>
      </c>
      <c r="AD139" s="1"/>
      <c r="AE139" s="1"/>
      <c r="AF139" s="1"/>
      <c r="AG139" s="1"/>
      <c r="AH139" s="1"/>
      <c r="AI139" s="1"/>
      <c r="AJ139" s="1"/>
      <c r="AL139" s="1"/>
      <c r="AM139" s="1"/>
      <c r="AN139" s="1"/>
      <c r="AO139" s="1"/>
      <c r="AP139" s="1"/>
      <c r="AQ139" s="1"/>
      <c r="AR139" s="1"/>
      <c r="AT139" s="1"/>
      <c r="AU139" s="1"/>
      <c r="AV139" s="1"/>
      <c r="AW139" s="1"/>
      <c r="AX139" s="1"/>
      <c r="AY139" s="1"/>
      <c r="BA139" s="1"/>
      <c r="BB139" s="1"/>
      <c r="BC139" s="1"/>
      <c r="BD139" s="1"/>
      <c r="BE139" s="1"/>
      <c r="BG139" s="1"/>
      <c r="BH139" s="1"/>
      <c r="BI139" s="1"/>
      <c r="BK139" s="1"/>
      <c r="BL139" s="1"/>
      <c r="BM139" s="1"/>
      <c r="BO139" s="1"/>
      <c r="BP139" s="1"/>
      <c r="BR139" s="1"/>
    </row>
    <row r="140" spans="1:70" x14ac:dyDescent="0.3">
      <c r="A140" s="6" t="s">
        <v>9</v>
      </c>
      <c r="B140" s="1"/>
      <c r="C140" s="1"/>
      <c r="D140" s="1"/>
      <c r="E140" s="1"/>
      <c r="F140" s="1"/>
      <c r="G140" s="1"/>
      <c r="H140" s="13">
        <f>X17-$W$6-$AA$17*(1-BK20)</f>
        <v>-8.5200000000000671</v>
      </c>
      <c r="I140" s="13">
        <f t="shared" ref="I140:J140" si="158">Y17-$W$6-$AA$17*(1-BL20)</f>
        <v>-7.1800000000000246</v>
      </c>
      <c r="J140" s="13">
        <f t="shared" si="158"/>
        <v>-0.12000000000000455</v>
      </c>
      <c r="R140" s="6" t="s">
        <v>11</v>
      </c>
      <c r="S140" s="1"/>
      <c r="T140" s="1"/>
      <c r="U140" s="1"/>
      <c r="V140" s="1"/>
      <c r="W140" s="1"/>
      <c r="X140" s="1"/>
      <c r="Y140" s="1"/>
      <c r="Z140" s="1">
        <f>Y16-$X$5-$AA$17*(1-BO12)</f>
        <v>-11.97000000000004</v>
      </c>
      <c r="AA140" s="1">
        <f>Z16-$X$5-$AA$17*(1-BP12)</f>
        <v>-4.6900000000000119</v>
      </c>
      <c r="AD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R140" s="1"/>
      <c r="AT140" s="1"/>
      <c r="AU140" s="1"/>
      <c r="AV140" s="1"/>
      <c r="AW140" s="1"/>
      <c r="AX140" s="1"/>
      <c r="AY140" s="1"/>
      <c r="BA140" s="1"/>
      <c r="BB140" s="1"/>
      <c r="BC140" s="1"/>
      <c r="BD140" s="1"/>
      <c r="BE140" s="1"/>
      <c r="BG140" s="1"/>
      <c r="BH140" s="1"/>
      <c r="BI140" s="1"/>
      <c r="BK140" s="1"/>
      <c r="BL140" s="1"/>
      <c r="BM140" s="1"/>
      <c r="BO140" s="1"/>
      <c r="BP140" s="1"/>
      <c r="BR140" s="1"/>
    </row>
    <row r="141" spans="1:70" x14ac:dyDescent="0.3">
      <c r="A141" s="6" t="s">
        <v>11</v>
      </c>
      <c r="B141" s="1"/>
      <c r="C141" s="1"/>
      <c r="D141" s="1"/>
      <c r="E141" s="1"/>
      <c r="F141" s="1"/>
      <c r="G141" s="1"/>
      <c r="H141" s="1"/>
      <c r="I141" s="13">
        <f>Y17-$X$6-$AA$17*(1-BO20)</f>
        <v>-10.720000000000024</v>
      </c>
      <c r="J141" s="13">
        <f>Z17-$X$6-$AA$17*(1-BP20)</f>
        <v>-3.6600000000000037</v>
      </c>
      <c r="R141" s="6" t="s">
        <v>13</v>
      </c>
      <c r="S141" s="1"/>
      <c r="T141" s="1"/>
      <c r="U141" s="1"/>
      <c r="V141" s="1"/>
      <c r="W141" s="1"/>
      <c r="X141" s="1"/>
      <c r="Y141" s="1"/>
      <c r="Z141" s="1"/>
      <c r="AA141" s="1">
        <f>Z16-$Y$5-$AA$17*(1-BR12)</f>
        <v>-7.0100000000000193</v>
      </c>
      <c r="AD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R141" s="1"/>
      <c r="AT141" s="1"/>
      <c r="AU141" s="1"/>
      <c r="AV141" s="1"/>
      <c r="AW141" s="1"/>
      <c r="AX141" s="1"/>
      <c r="AY141" s="1"/>
      <c r="BA141" s="1"/>
      <c r="BB141" s="1"/>
      <c r="BC141" s="1"/>
      <c r="BD141" s="1"/>
      <c r="BE141" s="1"/>
      <c r="BG141" s="1"/>
      <c r="BH141" s="1"/>
      <c r="BI141" s="1"/>
      <c r="BK141" s="1"/>
      <c r="BL141" s="1"/>
      <c r="BM141" s="1"/>
      <c r="BO141" s="1"/>
      <c r="BP141" s="1"/>
      <c r="BR141" s="1"/>
    </row>
    <row r="142" spans="1:70" x14ac:dyDescent="0.3">
      <c r="A142" s="6" t="s">
        <v>13</v>
      </c>
      <c r="B142" s="1"/>
      <c r="C142" s="1"/>
      <c r="D142" s="1"/>
      <c r="E142" s="1"/>
      <c r="F142" s="1"/>
      <c r="G142" s="1"/>
      <c r="H142" s="1"/>
      <c r="I142" s="1"/>
      <c r="J142" s="13">
        <f>Z17-$Y$6-$AA$17*(1-BR20)</f>
        <v>-6.0299999999999336</v>
      </c>
      <c r="R142" s="6" t="s">
        <v>15</v>
      </c>
      <c r="S142" s="1"/>
      <c r="T142" s="1"/>
      <c r="U142" s="1"/>
      <c r="V142" s="1"/>
      <c r="W142" s="1"/>
      <c r="X142" s="1"/>
      <c r="Y142" s="1"/>
      <c r="Z142" s="1"/>
      <c r="AA142" s="11"/>
      <c r="AD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R142" s="1"/>
      <c r="AT142" s="1"/>
      <c r="AU142" s="1"/>
      <c r="AV142" s="1"/>
      <c r="AW142" s="1"/>
      <c r="AX142" s="1"/>
      <c r="AY142" s="1"/>
      <c r="BA142" s="1"/>
      <c r="BB142" s="1"/>
      <c r="BC142" s="1"/>
      <c r="BD142" s="1"/>
      <c r="BE142" s="1"/>
      <c r="BG142" s="1"/>
      <c r="BH142" s="1"/>
      <c r="BI142" s="1"/>
      <c r="BK142" s="1"/>
      <c r="BL142" s="1"/>
      <c r="BM142" s="1"/>
      <c r="BO142" s="1"/>
      <c r="BP142" s="1"/>
      <c r="BR142" s="1"/>
    </row>
    <row r="143" spans="1:70" x14ac:dyDescent="0.3">
      <c r="A143" s="6" t="s">
        <v>15</v>
      </c>
      <c r="B143" s="1"/>
      <c r="C143" s="1"/>
      <c r="D143" s="1"/>
      <c r="E143" s="1"/>
      <c r="F143" s="1"/>
      <c r="G143" s="1"/>
      <c r="H143" s="1"/>
      <c r="I143" s="1"/>
      <c r="J143" s="1"/>
      <c r="AD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T143" s="1"/>
      <c r="AU143" s="1"/>
      <c r="AV143" s="1"/>
      <c r="AW143" s="1"/>
      <c r="AX143" s="1"/>
      <c r="AY143" s="1"/>
      <c r="BA143" s="1"/>
      <c r="BB143" s="1"/>
      <c r="BC143" s="1"/>
      <c r="BD143" s="1"/>
      <c r="BE143" s="1"/>
      <c r="BG143" s="1"/>
      <c r="BH143" s="1"/>
      <c r="BI143" s="1"/>
      <c r="BK143" s="1"/>
      <c r="BL143" s="1"/>
      <c r="BM143" s="1"/>
      <c r="BO143" s="1"/>
      <c r="BP143" s="1"/>
      <c r="BR143" s="1"/>
    </row>
    <row r="144" spans="1:70" x14ac:dyDescent="0.3">
      <c r="R144" t="s">
        <v>41</v>
      </c>
      <c r="AD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T144" s="1"/>
      <c r="AU144" s="1"/>
      <c r="AV144" s="1"/>
      <c r="AW144" s="1"/>
      <c r="AX144" s="1"/>
      <c r="AY144" s="1"/>
      <c r="BA144" s="1"/>
      <c r="BB144" s="1"/>
      <c r="BC144" s="1"/>
      <c r="BD144" s="1"/>
      <c r="BE144" s="1"/>
      <c r="BG144" s="1"/>
      <c r="BH144" s="1"/>
      <c r="BI144" s="1"/>
      <c r="BK144" s="1"/>
      <c r="BL144" s="1"/>
      <c r="BM144" s="1"/>
      <c r="BO144" s="1"/>
      <c r="BP144" s="1"/>
      <c r="BR144" s="1"/>
    </row>
    <row r="145" spans="1:70" x14ac:dyDescent="0.3">
      <c r="A145" t="s">
        <v>79</v>
      </c>
      <c r="R145" s="1"/>
      <c r="S145" s="6" t="s">
        <v>1</v>
      </c>
      <c r="T145" s="6" t="s">
        <v>2</v>
      </c>
      <c r="U145" s="6" t="s">
        <v>4</v>
      </c>
      <c r="V145" s="6" t="s">
        <v>6</v>
      </c>
      <c r="W145" s="6" t="s">
        <v>8</v>
      </c>
      <c r="X145" s="6" t="s">
        <v>9</v>
      </c>
      <c r="Y145" s="6" t="s">
        <v>11</v>
      </c>
      <c r="Z145" s="6" t="s">
        <v>13</v>
      </c>
      <c r="AA145" s="6" t="s">
        <v>15</v>
      </c>
      <c r="AD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R145" s="1"/>
      <c r="AT145" s="1"/>
      <c r="AU145" s="1"/>
      <c r="AV145" s="1"/>
      <c r="AW145" s="1"/>
      <c r="AX145" s="1"/>
      <c r="AY145" s="1"/>
      <c r="BA145" s="1"/>
      <c r="BB145" s="1"/>
      <c r="BC145" s="1"/>
      <c r="BD145" s="1"/>
      <c r="BE145" s="1"/>
      <c r="BG145" s="1"/>
      <c r="BH145" s="1"/>
      <c r="BI145" s="1"/>
      <c r="BK145" s="1"/>
      <c r="BL145" s="1"/>
      <c r="BM145" s="1"/>
      <c r="BO145" s="1"/>
      <c r="BP145" s="1"/>
      <c r="BR145" s="1"/>
    </row>
    <row r="146" spans="1:70" x14ac:dyDescent="0.3">
      <c r="A146" s="1"/>
      <c r="B146" s="6" t="s">
        <v>1</v>
      </c>
      <c r="C146" s="6" t="s">
        <v>2</v>
      </c>
      <c r="D146" s="6" t="s">
        <v>4</v>
      </c>
      <c r="E146" s="6" t="s">
        <v>6</v>
      </c>
      <c r="F146" s="6" t="s">
        <v>8</v>
      </c>
      <c r="G146" s="6" t="s">
        <v>9</v>
      </c>
      <c r="H146" s="6" t="s">
        <v>11</v>
      </c>
      <c r="I146" s="6" t="s">
        <v>13</v>
      </c>
      <c r="J146" s="6" t="s">
        <v>15</v>
      </c>
      <c r="R146" s="6" t="s">
        <v>1</v>
      </c>
      <c r="S146" s="1"/>
      <c r="T146" s="1"/>
      <c r="U146" s="1">
        <f>T17-$R$5-$AA$17*(1-AD13)</f>
        <v>-0.89000000000000412</v>
      </c>
      <c r="V146" s="1">
        <f t="shared" ref="V146:Z146" si="159">U17-$R$5-$AA$17*(1-AE13)</f>
        <v>-4.4408920985006262E-15</v>
      </c>
      <c r="W146" s="1">
        <f t="shared" si="159"/>
        <v>-58.569999999999986</v>
      </c>
      <c r="X146" s="1">
        <f t="shared" si="159"/>
        <v>-55.029999999999987</v>
      </c>
      <c r="Y146" s="1">
        <f t="shared" si="159"/>
        <v>-51.220000000000006</v>
      </c>
      <c r="Z146" s="1">
        <f t="shared" si="159"/>
        <v>-49.87999999999996</v>
      </c>
      <c r="AA146" s="1">
        <f>Z17-$R$5-$AA$17*(1-AJ13)</f>
        <v>-42.819999999999943</v>
      </c>
    </row>
    <row r="147" spans="1:70" x14ac:dyDescent="0.3">
      <c r="A147" s="6" t="s">
        <v>1</v>
      </c>
      <c r="B147" s="1"/>
      <c r="C147" s="1"/>
      <c r="D147" s="13">
        <f>T18-$R$6-$AA$17*(1-AD21)</f>
        <v>-1.2200000000000184</v>
      </c>
      <c r="E147" s="13">
        <f t="shared" ref="E147:J147" si="160">U18-$R$6-$AA$17*(1-AE21)</f>
        <v>-5.3290705182007514E-15</v>
      </c>
      <c r="F147" s="13">
        <f t="shared" si="160"/>
        <v>-55.590000000000025</v>
      </c>
      <c r="G147" s="13">
        <f t="shared" si="160"/>
        <v>-54.249999999999986</v>
      </c>
      <c r="H147" s="13">
        <f t="shared" si="160"/>
        <v>-51.639999999999972</v>
      </c>
      <c r="I147" s="13">
        <f t="shared" si="160"/>
        <v>-49.320000000000022</v>
      </c>
      <c r="J147" s="13">
        <f t="shared" si="160"/>
        <v>-41.040000000000028</v>
      </c>
      <c r="R147" s="6" t="s">
        <v>2</v>
      </c>
      <c r="S147" s="1"/>
      <c r="T147" s="1"/>
      <c r="U147" s="1">
        <f>T17-$S$5-$AA$17*(1-AL13)</f>
        <v>-3.9200000000000319</v>
      </c>
      <c r="V147" s="1">
        <f t="shared" ref="V147:AA147" si="161">U17-$S$5-$AA$17*(1-AM13)</f>
        <v>-3.0300000000000322</v>
      </c>
      <c r="W147" s="1">
        <f t="shared" si="161"/>
        <v>-3.5527136788005009E-15</v>
      </c>
      <c r="X147" s="1">
        <f t="shared" si="161"/>
        <v>-58.060000000000016</v>
      </c>
      <c r="Y147" s="1">
        <f t="shared" si="161"/>
        <v>-54.250000000000028</v>
      </c>
      <c r="Z147" s="1">
        <f t="shared" si="161"/>
        <v>-52.909999999999989</v>
      </c>
      <c r="AA147" s="1">
        <f t="shared" si="161"/>
        <v>-45.849999999999966</v>
      </c>
    </row>
    <row r="148" spans="1:70" x14ac:dyDescent="0.3">
      <c r="A148" s="6" t="s">
        <v>2</v>
      </c>
      <c r="B148" s="1"/>
      <c r="C148" s="1"/>
      <c r="D148" s="13">
        <f>T18-$S$6-$AA$17*(1-AL21)</f>
        <v>-3.7800000000000011</v>
      </c>
      <c r="E148" s="13">
        <f t="shared" ref="E148:J148" si="162">U18-$S$6-$AA$17*(1-AM21)</f>
        <v>-2.5599999999999881</v>
      </c>
      <c r="F148" s="13">
        <f t="shared" si="162"/>
        <v>-58.150000000000006</v>
      </c>
      <c r="G148" s="13">
        <f t="shared" si="162"/>
        <v>-56.809999999999974</v>
      </c>
      <c r="H148" s="13">
        <f t="shared" si="162"/>
        <v>-54.199999999999953</v>
      </c>
      <c r="I148" s="13">
        <f t="shared" si="162"/>
        <v>-51.88000000000001</v>
      </c>
      <c r="J148" s="13">
        <f t="shared" si="162"/>
        <v>-43.600000000000009</v>
      </c>
      <c r="R148" s="6" t="s">
        <v>4</v>
      </c>
      <c r="S148" s="1"/>
      <c r="T148" s="1"/>
      <c r="U148" s="1"/>
      <c r="V148" s="1">
        <f>U17-$T$5-$AA$17*(1-AT13)</f>
        <v>-6.5700000000000278</v>
      </c>
      <c r="W148" s="1">
        <f t="shared" ref="W148:AA148" si="163">V17-$T$5-$AA$17*(1-AU13)</f>
        <v>-3.5399999999999991</v>
      </c>
      <c r="X148" s="1">
        <f t="shared" si="163"/>
        <v>0</v>
      </c>
      <c r="Y148" s="1">
        <f t="shared" si="163"/>
        <v>-57.790000000000028</v>
      </c>
      <c r="Z148" s="1">
        <f t="shared" si="163"/>
        <v>-56.449999999999989</v>
      </c>
      <c r="AA148" s="1">
        <f t="shared" si="163"/>
        <v>-49.389999999999965</v>
      </c>
    </row>
    <row r="149" spans="1:70" x14ac:dyDescent="0.3">
      <c r="A149" s="6" t="s">
        <v>4</v>
      </c>
      <c r="B149" s="1"/>
      <c r="C149" s="1"/>
      <c r="D149" s="1"/>
      <c r="E149" s="13">
        <f>U18-$T$6-$AA$17*(1-AT21)</f>
        <v>-6.1300000000000185</v>
      </c>
      <c r="F149" s="13">
        <f t="shared" ref="F149:J149" si="164">V18-$T$6-$AA$17*(1-AU21)</f>
        <v>-0.12000000000002942</v>
      </c>
      <c r="G149" s="13">
        <f t="shared" si="164"/>
        <v>-60.38</v>
      </c>
      <c r="H149" s="13">
        <f t="shared" si="164"/>
        <v>-57.769999999999982</v>
      </c>
      <c r="I149" s="13">
        <f t="shared" si="164"/>
        <v>-55.450000000000038</v>
      </c>
      <c r="J149" s="13">
        <f t="shared" si="164"/>
        <v>-47.170000000000044</v>
      </c>
      <c r="R149" s="6" t="s">
        <v>6</v>
      </c>
      <c r="S149" s="1"/>
      <c r="T149" s="1"/>
      <c r="U149" s="1"/>
      <c r="V149" s="1"/>
      <c r="W149" s="1">
        <f>V17-$U$5-$AA$17*(1-BA13)</f>
        <v>-6.0100000000000051</v>
      </c>
      <c r="X149" s="1">
        <f t="shared" ref="X149:AA149" si="165">W17-$U$5-$AA$17*(1-BB13)</f>
        <v>-2.470000000000006</v>
      </c>
      <c r="Y149" s="1">
        <f>X17-$U$5-$AA$17*(1-BC13)</f>
        <v>-60.260000000000034</v>
      </c>
      <c r="Z149" s="1">
        <f t="shared" si="165"/>
        <v>-58.919999999999987</v>
      </c>
      <c r="AA149" s="1">
        <f t="shared" si="165"/>
        <v>-51.859999999999971</v>
      </c>
    </row>
    <row r="150" spans="1:70" x14ac:dyDescent="0.3">
      <c r="A150" s="6" t="s">
        <v>6</v>
      </c>
      <c r="B150" s="1"/>
      <c r="C150" s="1"/>
      <c r="D150" s="1"/>
      <c r="E150" s="1"/>
      <c r="F150" s="13">
        <f>V18-$U$6-$AA$17*(1-BA21)</f>
        <v>-1.460000000000047</v>
      </c>
      <c r="G150" s="13">
        <f t="shared" ref="G150:J150" si="166">W18-$U$6-$AA$17*(1-BB21)</f>
        <v>-0.12000000000001165</v>
      </c>
      <c r="H150" s="13">
        <f t="shared" si="166"/>
        <v>-59.11</v>
      </c>
      <c r="I150" s="13">
        <f t="shared" si="166"/>
        <v>-56.790000000000056</v>
      </c>
      <c r="J150" s="13">
        <f t="shared" si="166"/>
        <v>-48.510000000000062</v>
      </c>
      <c r="R150" s="6" t="s">
        <v>8</v>
      </c>
      <c r="S150" s="1"/>
      <c r="T150" s="1"/>
      <c r="U150" s="1"/>
      <c r="V150" s="1"/>
      <c r="W150" s="1"/>
      <c r="X150" s="1"/>
      <c r="Y150" s="1">
        <f>X17-$V$5-$AA$17*(1-BG13)</f>
        <v>-3.8299999999999983</v>
      </c>
      <c r="Z150" s="1">
        <f t="shared" ref="Z150:AA150" si="167">Y17-$V$5-$AA$17*(1-BH13)</f>
        <v>-2.4899999999999558</v>
      </c>
      <c r="AA150" s="1">
        <f t="shared" si="167"/>
        <v>-57.029999999999944</v>
      </c>
    </row>
    <row r="151" spans="1:70" x14ac:dyDescent="0.3">
      <c r="A151" s="6" t="s">
        <v>8</v>
      </c>
      <c r="B151" s="1"/>
      <c r="C151" s="1"/>
      <c r="D151" s="1"/>
      <c r="E151" s="1"/>
      <c r="F151" s="1"/>
      <c r="G151" s="1"/>
      <c r="H151" s="13">
        <f>X18-$V$6-$AA$17*(1-BG21)</f>
        <v>-2.3200000000000109</v>
      </c>
      <c r="I151" s="13">
        <f t="shared" ref="I151:J151" si="168">Y18-$V$6-$AA$17*(1-BH21)</f>
        <v>-6.3948846218409017E-14</v>
      </c>
      <c r="J151" s="13">
        <f t="shared" si="168"/>
        <v>-53.320000000000078</v>
      </c>
      <c r="R151" s="6" t="s">
        <v>9</v>
      </c>
      <c r="S151" s="1"/>
      <c r="T151" s="1"/>
      <c r="U151" s="1"/>
      <c r="V151" s="1"/>
      <c r="W151" s="1"/>
      <c r="X151" s="1"/>
      <c r="Y151" s="1">
        <f>X17-$W$5-$AA$17*(1-BK13)</f>
        <v>-3.8299999999999983</v>
      </c>
      <c r="Z151" s="1">
        <f t="shared" ref="Z151:AA151" si="169">Y17-$W$5-$AA$17*(1-BL13)</f>
        <v>-2.4899999999999558</v>
      </c>
      <c r="AA151" s="1">
        <f t="shared" si="169"/>
        <v>-57.029999999999944</v>
      </c>
    </row>
    <row r="152" spans="1:70" x14ac:dyDescent="0.3">
      <c r="A152" s="6" t="s">
        <v>9</v>
      </c>
      <c r="B152" s="1"/>
      <c r="C152" s="1"/>
      <c r="D152" s="1"/>
      <c r="E152" s="1"/>
      <c r="F152" s="1"/>
      <c r="G152" s="1"/>
      <c r="H152" s="13">
        <f>X18-$W$6-$AA$17*(1-BK21)</f>
        <v>-4.6900000000000155</v>
      </c>
      <c r="I152" s="13">
        <f t="shared" ref="I152:J152" si="170">Y18-$W$6-$AA$17*(1-BL21)</f>
        <v>-2.3700000000000685</v>
      </c>
      <c r="J152" s="13">
        <f t="shared" si="170"/>
        <v>-55.690000000000083</v>
      </c>
      <c r="R152" s="6" t="s">
        <v>11</v>
      </c>
      <c r="S152" s="1"/>
      <c r="T152" s="1"/>
      <c r="U152" s="1"/>
      <c r="V152" s="1"/>
      <c r="W152" s="1"/>
      <c r="X152" s="1"/>
      <c r="Y152" s="1"/>
      <c r="Z152" s="1">
        <f>Y17-$X$5-$AA$17*(1-BO13)</f>
        <v>-7.06000000000002</v>
      </c>
      <c r="AA152" s="1">
        <f>Z17-$X$5-$AA$17*(1-BP13)</f>
        <v>0</v>
      </c>
    </row>
    <row r="153" spans="1:70" x14ac:dyDescent="0.3">
      <c r="A153" s="6" t="s">
        <v>11</v>
      </c>
      <c r="B153" s="1"/>
      <c r="C153" s="1"/>
      <c r="D153" s="1"/>
      <c r="E153" s="1"/>
      <c r="F153" s="1"/>
      <c r="G153" s="1"/>
      <c r="H153" s="1"/>
      <c r="I153" s="13">
        <f>Y18-$X$6-$AA$17*(1-BO21)</f>
        <v>-5.9100000000000676</v>
      </c>
      <c r="J153" s="13">
        <f>Z18-$X$6-$AA$17*(1-BP21)</f>
        <v>-59.230000000000075</v>
      </c>
      <c r="R153" s="6" t="s">
        <v>13</v>
      </c>
      <c r="S153" s="1"/>
      <c r="T153" s="1"/>
      <c r="U153" s="1"/>
      <c r="V153" s="1"/>
      <c r="W153" s="1"/>
      <c r="X153" s="1"/>
      <c r="Y153" s="1"/>
      <c r="Z153" s="1"/>
      <c r="AA153" s="1">
        <f>Z17-$Y$5-$AA$17*(1-BR13)</f>
        <v>-2.3200000000000074</v>
      </c>
    </row>
    <row r="154" spans="1:70" x14ac:dyDescent="0.3">
      <c r="A154" s="6" t="s">
        <v>13</v>
      </c>
      <c r="B154" s="1"/>
      <c r="C154" s="1"/>
      <c r="D154" s="1"/>
      <c r="E154" s="1"/>
      <c r="F154" s="1"/>
      <c r="G154" s="1"/>
      <c r="H154" s="1"/>
      <c r="I154" s="1"/>
      <c r="J154" s="13">
        <f>Z18-$Y$6-$AA$17*(1-BR21)</f>
        <v>0</v>
      </c>
      <c r="R154" s="6" t="s">
        <v>15</v>
      </c>
      <c r="S154" s="1"/>
      <c r="T154" s="1"/>
      <c r="U154" s="1"/>
      <c r="V154" s="1"/>
      <c r="W154" s="1"/>
      <c r="X154" s="1"/>
      <c r="Y154" s="1"/>
      <c r="Z154" s="1"/>
      <c r="AA154" s="11"/>
    </row>
    <row r="155" spans="1:70" x14ac:dyDescent="0.3">
      <c r="A155" s="6" t="s">
        <v>15</v>
      </c>
      <c r="B155" s="1"/>
      <c r="C155" s="1"/>
      <c r="D155" s="1"/>
      <c r="E155" s="1"/>
      <c r="F155" s="1"/>
      <c r="G155" s="1"/>
      <c r="H155" s="1"/>
      <c r="I155" s="1"/>
      <c r="J155" s="1"/>
    </row>
    <row r="157" spans="1:70" x14ac:dyDescent="0.3">
      <c r="A157" t="s">
        <v>80</v>
      </c>
      <c r="R157" t="s">
        <v>42</v>
      </c>
    </row>
    <row r="158" spans="1:70" x14ac:dyDescent="0.3">
      <c r="A158" s="1"/>
      <c r="B158" s="6" t="s">
        <v>1</v>
      </c>
      <c r="C158" s="6" t="s">
        <v>2</v>
      </c>
      <c r="D158" s="6" t="s">
        <v>4</v>
      </c>
      <c r="E158" s="6" t="s">
        <v>6</v>
      </c>
      <c r="F158" s="6" t="s">
        <v>8</v>
      </c>
      <c r="G158" s="6" t="s">
        <v>9</v>
      </c>
      <c r="H158" s="6" t="s">
        <v>11</v>
      </c>
      <c r="I158" s="6" t="s">
        <v>13</v>
      </c>
      <c r="J158" s="6" t="s">
        <v>15</v>
      </c>
      <c r="R158" s="1"/>
      <c r="S158" s="6" t="s">
        <v>1</v>
      </c>
      <c r="T158" s="6" t="s">
        <v>2</v>
      </c>
      <c r="U158" s="6" t="s">
        <v>4</v>
      </c>
      <c r="V158" s="6" t="s">
        <v>6</v>
      </c>
      <c r="W158" s="6" t="s">
        <v>8</v>
      </c>
      <c r="X158" s="6" t="s">
        <v>9</v>
      </c>
      <c r="Y158" s="6" t="s">
        <v>11</v>
      </c>
      <c r="Z158" s="6" t="s">
        <v>13</v>
      </c>
      <c r="AA158" s="6" t="s">
        <v>15</v>
      </c>
    </row>
    <row r="159" spans="1:70" x14ac:dyDescent="0.3">
      <c r="A159" s="6" t="s">
        <v>1</v>
      </c>
      <c r="B159" s="1"/>
      <c r="C159" s="1"/>
      <c r="D159" s="13">
        <f>T19-$R$6-$AA$17*(1-AD22)</f>
        <v>-59.160000000000004</v>
      </c>
      <c r="E159" s="13">
        <f t="shared" ref="E159:J159" si="171">U19-$R$6-$AA$17*(1-AE22)</f>
        <v>-56.69</v>
      </c>
      <c r="F159" s="13">
        <f t="shared" si="171"/>
        <v>-51.640000000000029</v>
      </c>
      <c r="G159" s="13">
        <f t="shared" si="171"/>
        <v>-49.440000000000026</v>
      </c>
      <c r="H159" s="13">
        <f t="shared" si="171"/>
        <v>-46.94999999999996</v>
      </c>
      <c r="I159" s="13">
        <f t="shared" si="171"/>
        <v>-44.629999999999953</v>
      </c>
      <c r="J159" s="13">
        <f t="shared" si="171"/>
        <v>-38.669999999999945</v>
      </c>
      <c r="R159" s="6" t="s">
        <v>1</v>
      </c>
      <c r="S159" s="1"/>
      <c r="T159" s="1"/>
      <c r="U159" s="1">
        <f>T18-$R$5-$AA$17*(1-AD14)</f>
        <v>-58.570000000000007</v>
      </c>
      <c r="V159" s="1">
        <f t="shared" ref="V159:Z159" si="172">U18-$R$5-$AA$17*(1-AE14)</f>
        <v>-57.349999999999994</v>
      </c>
      <c r="W159" s="1">
        <f t="shared" si="172"/>
        <v>-51.34</v>
      </c>
      <c r="X159" s="1">
        <f t="shared" si="172"/>
        <v>-49.999999999999972</v>
      </c>
      <c r="Y159" s="1">
        <f t="shared" si="172"/>
        <v>-47.389999999999951</v>
      </c>
      <c r="Z159" s="1">
        <f t="shared" si="172"/>
        <v>-45.070000000000007</v>
      </c>
      <c r="AA159" s="1">
        <f>Z18-$R$5-$AA$17*(1-AJ14)</f>
        <v>-36.790000000000006</v>
      </c>
    </row>
    <row r="160" spans="1:70" x14ac:dyDescent="0.3">
      <c r="A160" s="6" t="s">
        <v>2</v>
      </c>
      <c r="B160" s="1"/>
      <c r="C160" s="1"/>
      <c r="D160" s="13">
        <f>T19-$S$6-$AA$17*(1-AL22)</f>
        <v>-0.11999999999997968</v>
      </c>
      <c r="E160" s="13">
        <f t="shared" ref="E160:J160" si="173">U19-$S$6-$AA$17*(1-AM22)</f>
        <v>-59.249999999999979</v>
      </c>
      <c r="F160" s="13">
        <f t="shared" si="173"/>
        <v>-54.20000000000001</v>
      </c>
      <c r="G160" s="13">
        <f t="shared" si="173"/>
        <v>-52.000000000000007</v>
      </c>
      <c r="H160" s="13">
        <f t="shared" si="173"/>
        <v>-49.509999999999941</v>
      </c>
      <c r="I160" s="13">
        <f t="shared" si="173"/>
        <v>-47.189999999999934</v>
      </c>
      <c r="J160" s="13">
        <f t="shared" si="173"/>
        <v>-41.229999999999926</v>
      </c>
      <c r="R160" s="6" t="s">
        <v>2</v>
      </c>
      <c r="S160" s="1"/>
      <c r="T160" s="1"/>
      <c r="U160" s="1">
        <f>T18-$S$5-$AA$17*(1-AL14)</f>
        <v>-2.6645352591003757E-14</v>
      </c>
      <c r="V160" s="1">
        <f t="shared" ref="V160:AA160" si="174">U18-$S$5-$AA$17*(1-AM14)</f>
        <v>-60.380000000000024</v>
      </c>
      <c r="W160" s="1">
        <f t="shared" si="174"/>
        <v>-54.370000000000033</v>
      </c>
      <c r="X160" s="1">
        <f t="shared" si="174"/>
        <v>-53.03</v>
      </c>
      <c r="Y160" s="1">
        <f t="shared" si="174"/>
        <v>-50.41999999999998</v>
      </c>
      <c r="Z160" s="1">
        <f t="shared" si="174"/>
        <v>-48.100000000000037</v>
      </c>
      <c r="AA160" s="1">
        <f t="shared" si="174"/>
        <v>-39.820000000000036</v>
      </c>
    </row>
    <row r="161" spans="1:27" x14ac:dyDescent="0.3">
      <c r="A161" s="6" t="s">
        <v>4</v>
      </c>
      <c r="B161" s="1"/>
      <c r="C161" s="1"/>
      <c r="D161" s="1"/>
      <c r="E161" s="13">
        <f>U19-$T$6-$AA$17*(1-AT22)</f>
        <v>-1.2200000000000024</v>
      </c>
      <c r="F161" s="13">
        <f t="shared" ref="F161:J161" si="175">V19-$T$6-$AA$17*(1-AU22)</f>
        <v>-57.770000000000039</v>
      </c>
      <c r="G161" s="13">
        <f t="shared" si="175"/>
        <v>-55.570000000000036</v>
      </c>
      <c r="H161" s="13">
        <f t="shared" si="175"/>
        <v>-53.07999999999997</v>
      </c>
      <c r="I161" s="13">
        <f t="shared" si="175"/>
        <v>-50.759999999999962</v>
      </c>
      <c r="J161" s="13">
        <f t="shared" si="175"/>
        <v>-44.799999999999955</v>
      </c>
      <c r="R161" s="6" t="s">
        <v>4</v>
      </c>
      <c r="S161" s="1"/>
      <c r="T161" s="1"/>
      <c r="U161" s="1"/>
      <c r="V161" s="1">
        <f>U18-$T$5-$AA$17*(1-AT14)</f>
        <v>-2.3200000000000092</v>
      </c>
      <c r="W161" s="1">
        <f>V18-$T$5-$AA$17*(1-AU14)</f>
        <v>-57.910000000000025</v>
      </c>
      <c r="X161" s="1">
        <f t="shared" ref="X161:AA161" si="176">W18-$T$5-$AA$17*(1-AV14)</f>
        <v>-56.569999999999993</v>
      </c>
      <c r="Y161" s="1">
        <f t="shared" si="176"/>
        <v>-53.95999999999998</v>
      </c>
      <c r="Z161" s="1">
        <f t="shared" si="176"/>
        <v>-51.640000000000029</v>
      </c>
      <c r="AA161" s="1">
        <f t="shared" si="176"/>
        <v>-43.360000000000028</v>
      </c>
    </row>
    <row r="162" spans="1:27" x14ac:dyDescent="0.3">
      <c r="A162" s="6" t="s">
        <v>6</v>
      </c>
      <c r="B162" s="1"/>
      <c r="C162" s="1"/>
      <c r="D162" s="1"/>
      <c r="E162" s="1"/>
      <c r="F162" s="13">
        <f>V19-$U$6-$AA$17*(1-BA22)</f>
        <v>-59.110000000000056</v>
      </c>
      <c r="G162" s="13">
        <f t="shared" ref="G162:J162" si="177">W19-$U$6-$AA$17*(1-BB22)</f>
        <v>-56.910000000000053</v>
      </c>
      <c r="H162" s="13">
        <f t="shared" si="177"/>
        <v>-54.419999999999987</v>
      </c>
      <c r="I162" s="13">
        <f t="shared" si="177"/>
        <v>-52.09999999999998</v>
      </c>
      <c r="J162" s="13">
        <f t="shared" si="177"/>
        <v>-46.139999999999972</v>
      </c>
      <c r="R162" s="6" t="s">
        <v>6</v>
      </c>
      <c r="S162" s="1"/>
      <c r="T162" s="1"/>
      <c r="U162" s="1"/>
      <c r="V162" s="1"/>
      <c r="W162" s="1">
        <f>V18-$U$5-$AA$17*(1-BA14)</f>
        <v>-60.380000000000038</v>
      </c>
      <c r="X162" s="1">
        <f t="shared" ref="X162:AA162" si="178">W18-$U$5-$AA$17*(1-BB14)</f>
        <v>-59.04</v>
      </c>
      <c r="Y162" s="1">
        <f>X18-$U$5-$AA$17*(1-BC14)</f>
        <v>-56.429999999999978</v>
      </c>
      <c r="Z162" s="1">
        <f t="shared" si="178"/>
        <v>-54.110000000000035</v>
      </c>
      <c r="AA162" s="1">
        <f t="shared" si="178"/>
        <v>-45.830000000000041</v>
      </c>
    </row>
    <row r="163" spans="1:27" x14ac:dyDescent="0.3">
      <c r="A163" s="6" t="s">
        <v>8</v>
      </c>
      <c r="B163" s="1"/>
      <c r="C163" s="1"/>
      <c r="D163" s="1"/>
      <c r="E163" s="1"/>
      <c r="F163" s="1"/>
      <c r="G163" s="1"/>
      <c r="H163" s="13">
        <f>X19-$V$6-$AA$17*(1-BG22)</f>
        <v>-59.230000000000004</v>
      </c>
      <c r="I163" s="13">
        <f t="shared" ref="I163:J163" si="179">Y19-$V$6-$AA$17*(1-BH22)</f>
        <v>-56.91</v>
      </c>
      <c r="J163" s="13">
        <f t="shared" si="179"/>
        <v>-50.949999999999989</v>
      </c>
      <c r="R163" s="6" t="s">
        <v>8</v>
      </c>
      <c r="S163" s="1"/>
      <c r="T163" s="1"/>
      <c r="U163" s="1"/>
      <c r="V163" s="1"/>
      <c r="W163" s="1"/>
      <c r="X163" s="1"/>
      <c r="Y163" s="1">
        <f>X18-$V$5-$AA$17*(1-BG14)</f>
        <v>5.3290705182007514E-14</v>
      </c>
      <c r="Z163" s="1">
        <f t="shared" ref="Z163:AA163" si="180">Y18-$V$5-$AA$17*(1-BH14)</f>
        <v>-59.280000000000008</v>
      </c>
      <c r="AA163" s="1">
        <f t="shared" si="180"/>
        <v>-51.000000000000014</v>
      </c>
    </row>
    <row r="164" spans="1:27" x14ac:dyDescent="0.3">
      <c r="A164" s="6" t="s">
        <v>9</v>
      </c>
      <c r="B164" s="1"/>
      <c r="C164" s="1"/>
      <c r="D164" s="1"/>
      <c r="E164" s="1"/>
      <c r="F164" s="1"/>
      <c r="G164" s="1"/>
      <c r="H164" s="13">
        <f>X19-$W$6-$AA$17*(1-BK22)</f>
        <v>-3.5527136788005009E-15</v>
      </c>
      <c r="I164" s="13">
        <f t="shared" ref="I164:J164" si="181">Y19-$W$6-$AA$17*(1-BL22)</f>
        <v>-59.28</v>
      </c>
      <c r="J164" s="13">
        <f t="shared" si="181"/>
        <v>-53.319999999999993</v>
      </c>
      <c r="R164" s="6" t="s">
        <v>9</v>
      </c>
      <c r="S164" s="1"/>
      <c r="T164" s="1"/>
      <c r="U164" s="1"/>
      <c r="V164" s="1"/>
      <c r="W164" s="1"/>
      <c r="X164" s="1"/>
      <c r="Y164" s="1">
        <f>X18-$W$5-$AA$17*(1-BK14)</f>
        <v>5.3290705182007514E-14</v>
      </c>
      <c r="Z164" s="1">
        <f t="shared" ref="Z164" si="182">Y18-$W$5-$AA$17*(1-BL14)</f>
        <v>-59.280000000000008</v>
      </c>
      <c r="AA164" s="1">
        <f>Z18-$W$5-$AA$17*(1-BM14)</f>
        <v>-51.000000000000014</v>
      </c>
    </row>
    <row r="165" spans="1:27" x14ac:dyDescent="0.3">
      <c r="A165" s="6" t="s">
        <v>11</v>
      </c>
      <c r="B165" s="1"/>
      <c r="C165" s="1"/>
      <c r="D165" s="1"/>
      <c r="E165" s="1"/>
      <c r="F165" s="1"/>
      <c r="G165" s="1"/>
      <c r="H165" s="1"/>
      <c r="I165" s="13">
        <f>Y19-$X$6-$AA$17*(1-BO22)</f>
        <v>-1.2199999999999953</v>
      </c>
      <c r="J165" s="13">
        <f>Z19-$X$6-$AA$17*(1-BP22)</f>
        <v>-56.86</v>
      </c>
      <c r="R165" s="6" t="s">
        <v>11</v>
      </c>
      <c r="S165" s="1"/>
      <c r="T165" s="1"/>
      <c r="U165" s="1"/>
      <c r="V165" s="1"/>
      <c r="W165" s="1"/>
      <c r="X165" s="1"/>
      <c r="Y165" s="1"/>
      <c r="Z165" s="1">
        <f>Y18-$X$5-$AA$17*(1-BO14)</f>
        <v>-2.2500000000000639</v>
      </c>
      <c r="AA165" s="1">
        <f>Z18-$X$5-$AA$17*(1-BP14)</f>
        <v>-55.570000000000078</v>
      </c>
    </row>
    <row r="166" spans="1:27" x14ac:dyDescent="0.3">
      <c r="A166" s="6" t="s">
        <v>13</v>
      </c>
      <c r="B166" s="1"/>
      <c r="C166" s="1"/>
      <c r="D166" s="1"/>
      <c r="E166" s="1"/>
      <c r="F166" s="1"/>
      <c r="G166" s="1"/>
      <c r="H166" s="1"/>
      <c r="I166" s="1"/>
      <c r="J166" s="13">
        <f>Z19-$Y$6-$AA$17*(1-BR22)</f>
        <v>-59.229999999999926</v>
      </c>
      <c r="R166" s="6" t="s">
        <v>13</v>
      </c>
      <c r="S166" s="1"/>
      <c r="T166" s="1"/>
      <c r="U166" s="1"/>
      <c r="V166" s="1"/>
      <c r="W166" s="1"/>
      <c r="X166" s="1"/>
      <c r="Y166" s="1"/>
      <c r="Z166" s="1"/>
      <c r="AA166" s="1">
        <f>Z18-$Y$5-$AA$17*(1-BR14)</f>
        <v>-57.890000000000086</v>
      </c>
    </row>
    <row r="167" spans="1:27" x14ac:dyDescent="0.3">
      <c r="A167" s="6" t="s">
        <v>15</v>
      </c>
      <c r="B167" s="1"/>
      <c r="C167" s="1"/>
      <c r="D167" s="1"/>
      <c r="E167" s="1"/>
      <c r="F167" s="1"/>
      <c r="G167" s="1"/>
      <c r="H167" s="1"/>
      <c r="I167" s="1"/>
      <c r="J167" s="1"/>
      <c r="R167" s="6" t="s">
        <v>15</v>
      </c>
      <c r="S167" s="1"/>
      <c r="T167" s="1"/>
      <c r="U167" s="1"/>
      <c r="V167" s="1"/>
      <c r="W167" s="1"/>
      <c r="X167" s="1"/>
      <c r="Y167" s="1"/>
      <c r="Z167" s="1"/>
      <c r="AA167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E2BE-482D-43DA-90DC-A991C77D9813}">
  <dimension ref="A1:BS167"/>
  <sheetViews>
    <sheetView zoomScale="68" zoomScaleNormal="68" workbookViewId="0">
      <selection activeCell="N27" sqref="N27"/>
    </sheetView>
  </sheetViews>
  <sheetFormatPr defaultRowHeight="14.4" x14ac:dyDescent="0.3"/>
  <cols>
    <col min="3" max="3" width="13.33203125" bestFit="1" customWidth="1"/>
    <col min="18" max="18" width="12.5546875" bestFit="1" customWidth="1"/>
    <col min="32" max="32" width="13.21875" bestFit="1" customWidth="1"/>
  </cols>
  <sheetData>
    <row r="1" spans="1:71" x14ac:dyDescent="0.3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6" t="s">
        <v>15</v>
      </c>
      <c r="R1" s="3" t="s">
        <v>1</v>
      </c>
      <c r="S1" s="3" t="s">
        <v>2</v>
      </c>
      <c r="T1" s="3" t="s">
        <v>4</v>
      </c>
      <c r="U1" s="3" t="s">
        <v>6</v>
      </c>
      <c r="V1" s="3" t="s">
        <v>8</v>
      </c>
      <c r="W1" s="3" t="s">
        <v>9</v>
      </c>
      <c r="X1" s="3" t="s">
        <v>11</v>
      </c>
      <c r="Y1" s="3" t="s">
        <v>13</v>
      </c>
      <c r="Z1" s="3" t="s">
        <v>15</v>
      </c>
      <c r="AG1" t="s">
        <v>36</v>
      </c>
    </row>
    <row r="2" spans="1:71" x14ac:dyDescent="0.3">
      <c r="A2" s="1" t="s">
        <v>16</v>
      </c>
      <c r="B2" s="1">
        <v>0</v>
      </c>
      <c r="C2" s="1">
        <v>2.23</v>
      </c>
      <c r="D2" s="1">
        <v>1.34</v>
      </c>
      <c r="E2" s="1">
        <v>0.12</v>
      </c>
      <c r="F2" s="1">
        <v>0.77</v>
      </c>
      <c r="G2" s="1">
        <v>0.12</v>
      </c>
      <c r="H2" s="1">
        <v>2</v>
      </c>
      <c r="I2" s="1">
        <v>1.2199999999999926</v>
      </c>
      <c r="J2" s="1">
        <v>0.98000000000000753</v>
      </c>
      <c r="K2" s="1">
        <v>1.34</v>
      </c>
      <c r="L2" s="1">
        <v>0.12</v>
      </c>
      <c r="M2" s="1">
        <v>0.77</v>
      </c>
      <c r="N2" s="1">
        <v>0.12</v>
      </c>
      <c r="O2" s="1">
        <v>2</v>
      </c>
      <c r="P2" s="1">
        <v>2.25</v>
      </c>
      <c r="Q2" t="s">
        <v>31</v>
      </c>
      <c r="R2" s="1">
        <f t="shared" ref="R2:S2" si="0">B16</f>
        <v>0</v>
      </c>
      <c r="S2" s="1">
        <f t="shared" si="0"/>
        <v>0</v>
      </c>
      <c r="T2" s="1">
        <f>E16</f>
        <v>4.4599999999999937</v>
      </c>
      <c r="U2" s="1">
        <f>G16</f>
        <v>5.3649999999999984</v>
      </c>
      <c r="V2" s="1">
        <f t="shared" ref="V2:W2" si="1">I16</f>
        <v>7.4849999999999994</v>
      </c>
      <c r="W2" s="1">
        <f t="shared" si="1"/>
        <v>11.175000000000001</v>
      </c>
      <c r="X2" s="1">
        <f>L16</f>
        <v>14.595000000000017</v>
      </c>
      <c r="Y2" s="1">
        <f>N16</f>
        <v>15.485000000000017</v>
      </c>
      <c r="Z2" s="1">
        <f>P16</f>
        <v>18.135000000000016</v>
      </c>
      <c r="AA2" t="s">
        <v>17</v>
      </c>
      <c r="AD2" s="6" t="s">
        <v>4</v>
      </c>
      <c r="AE2" s="6" t="s">
        <v>6</v>
      </c>
      <c r="AF2" s="6" t="s">
        <v>8</v>
      </c>
      <c r="AG2" s="6" t="s">
        <v>9</v>
      </c>
      <c r="AH2" s="6" t="s">
        <v>11</v>
      </c>
      <c r="AI2" s="6" t="s">
        <v>13</v>
      </c>
      <c r="AJ2" s="6" t="s">
        <v>15</v>
      </c>
      <c r="AL2" s="6" t="s">
        <v>4</v>
      </c>
      <c r="AM2" s="6" t="s">
        <v>6</v>
      </c>
      <c r="AN2" s="6" t="s">
        <v>8</v>
      </c>
      <c r="AO2" s="6" t="s">
        <v>9</v>
      </c>
      <c r="AP2" s="6" t="s">
        <v>11</v>
      </c>
      <c r="AQ2" s="6" t="s">
        <v>13</v>
      </c>
      <c r="AR2" s="6" t="s">
        <v>15</v>
      </c>
      <c r="AT2" s="6" t="s">
        <v>6</v>
      </c>
      <c r="AU2" s="6" t="s">
        <v>8</v>
      </c>
      <c r="AV2" s="6" t="s">
        <v>9</v>
      </c>
      <c r="AW2" s="6" t="s">
        <v>11</v>
      </c>
      <c r="AX2" s="6" t="s">
        <v>13</v>
      </c>
      <c r="AY2" s="6" t="s">
        <v>15</v>
      </c>
      <c r="BA2" s="6" t="s">
        <v>8</v>
      </c>
      <c r="BB2" s="6" t="s">
        <v>9</v>
      </c>
      <c r="BC2" s="6" t="s">
        <v>11</v>
      </c>
      <c r="BD2" s="6" t="s">
        <v>13</v>
      </c>
      <c r="BE2" s="6" t="s">
        <v>15</v>
      </c>
      <c r="BG2" s="6" t="s">
        <v>11</v>
      </c>
      <c r="BH2" s="6" t="s">
        <v>13</v>
      </c>
      <c r="BI2" s="6" t="s">
        <v>15</v>
      </c>
      <c r="BK2" s="6" t="s">
        <v>11</v>
      </c>
      <c r="BL2" s="6" t="s">
        <v>13</v>
      </c>
      <c r="BM2" s="6" t="s">
        <v>15</v>
      </c>
      <c r="BO2" s="6" t="s">
        <v>13</v>
      </c>
      <c r="BP2" s="6" t="s">
        <v>15</v>
      </c>
      <c r="BR2" s="6" t="s">
        <v>15</v>
      </c>
    </row>
    <row r="3" spans="1:71" x14ac:dyDescent="0.3">
      <c r="A3" s="1" t="s">
        <v>18</v>
      </c>
      <c r="B3" s="1">
        <v>2.23</v>
      </c>
      <c r="C3" s="1">
        <v>0</v>
      </c>
      <c r="D3" s="1">
        <v>1.34</v>
      </c>
      <c r="E3" s="1">
        <v>0.12</v>
      </c>
      <c r="F3" s="1">
        <v>0.77</v>
      </c>
      <c r="G3" s="1">
        <v>0.12</v>
      </c>
      <c r="H3" s="1">
        <v>2</v>
      </c>
      <c r="I3" s="1">
        <v>0</v>
      </c>
      <c r="J3" s="1">
        <v>2.2000000000000002</v>
      </c>
      <c r="K3" s="1">
        <v>1.34</v>
      </c>
      <c r="L3" s="1">
        <v>0.12</v>
      </c>
      <c r="M3" s="1">
        <v>0.77</v>
      </c>
      <c r="N3" s="1">
        <v>0.12</v>
      </c>
      <c r="O3" s="1">
        <v>2</v>
      </c>
      <c r="P3" s="1">
        <v>2.25</v>
      </c>
      <c r="Q3" t="s">
        <v>32</v>
      </c>
      <c r="R3" s="1">
        <f t="shared" ref="R3:R5" si="2">B17</f>
        <v>2.23</v>
      </c>
      <c r="S3" s="1">
        <f t="shared" ref="S3:S5" si="3">C17</f>
        <v>4.5799999999999983</v>
      </c>
      <c r="T3" s="1">
        <f t="shared" ref="T3:T5" si="4">E17</f>
        <v>5.9199999999999982</v>
      </c>
      <c r="U3" s="1">
        <f t="shared" ref="U3:U5" si="5">G17</f>
        <v>8.7049999999999947</v>
      </c>
      <c r="V3" s="1">
        <f t="shared" ref="V3:V5" si="6">I17</f>
        <v>12.275000000000013</v>
      </c>
      <c r="W3" s="1">
        <f t="shared" ref="W3:W5" si="7">J17</f>
        <v>12.275000000000013</v>
      </c>
      <c r="X3" s="1">
        <f t="shared" ref="X3:X5" si="8">L17</f>
        <v>15.815000000000012</v>
      </c>
      <c r="Y3" s="1">
        <f t="shared" ref="Y3:Y5" si="9">N17</f>
        <v>20.385000000000016</v>
      </c>
      <c r="Z3" s="1">
        <f t="shared" ref="Z3:Z5" si="10">P17</f>
        <v>22.945000000000032</v>
      </c>
      <c r="AB3">
        <v>1</v>
      </c>
      <c r="AC3" t="s">
        <v>46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L3" s="1">
        <v>0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T3" s="1">
        <v>0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BA3" s="1">
        <v>0</v>
      </c>
      <c r="BB3" s="1">
        <v>1</v>
      </c>
      <c r="BC3" s="1">
        <v>1</v>
      </c>
      <c r="BD3" s="1">
        <v>1</v>
      </c>
      <c r="BE3" s="1">
        <v>1</v>
      </c>
      <c r="BG3" s="1">
        <v>1</v>
      </c>
      <c r="BH3" s="1">
        <v>1</v>
      </c>
      <c r="BI3" s="1">
        <v>1</v>
      </c>
      <c r="BK3" s="1">
        <v>1</v>
      </c>
      <c r="BL3" s="1">
        <v>1</v>
      </c>
      <c r="BM3" s="1">
        <v>1</v>
      </c>
      <c r="BO3" s="1">
        <v>0</v>
      </c>
      <c r="BP3" s="1">
        <v>1</v>
      </c>
      <c r="BR3" s="1">
        <v>0</v>
      </c>
    </row>
    <row r="4" spans="1:71" x14ac:dyDescent="0.3">
      <c r="A4" s="1" t="s">
        <v>26</v>
      </c>
      <c r="B4" s="1">
        <v>0.78500000000000325</v>
      </c>
      <c r="C4" s="1">
        <v>1.4449999999999967</v>
      </c>
      <c r="D4" s="1">
        <v>1.34</v>
      </c>
      <c r="E4" s="1">
        <v>0.12</v>
      </c>
      <c r="F4" s="1">
        <v>0.77</v>
      </c>
      <c r="G4" s="1">
        <v>0.12</v>
      </c>
      <c r="H4" s="1">
        <v>2</v>
      </c>
      <c r="I4" s="1">
        <v>0</v>
      </c>
      <c r="J4" s="1">
        <v>2.2000000000000002</v>
      </c>
      <c r="K4" s="1">
        <v>1.34</v>
      </c>
      <c r="L4" s="1">
        <v>0.12</v>
      </c>
      <c r="M4" s="1">
        <v>0.77</v>
      </c>
      <c r="N4" s="1">
        <v>0.12</v>
      </c>
      <c r="O4" s="1">
        <v>2</v>
      </c>
      <c r="P4" s="1">
        <v>2.25</v>
      </c>
      <c r="Q4" t="s">
        <v>33</v>
      </c>
      <c r="R4" s="1">
        <f t="shared" si="2"/>
        <v>4.5799999999999983</v>
      </c>
      <c r="S4" s="1">
        <f t="shared" si="3"/>
        <v>6.0400000000000027</v>
      </c>
      <c r="T4" s="1">
        <f t="shared" si="4"/>
        <v>8.8249999999999993</v>
      </c>
      <c r="U4" s="1">
        <f t="shared" si="5"/>
        <v>12.155000000000008</v>
      </c>
      <c r="V4" s="1">
        <f t="shared" si="6"/>
        <v>15.935000000000016</v>
      </c>
      <c r="W4" s="1">
        <f t="shared" si="7"/>
        <v>15.935000000000016</v>
      </c>
      <c r="X4" s="1">
        <f t="shared" si="8"/>
        <v>20.50500000000002</v>
      </c>
      <c r="Y4" s="1">
        <f t="shared" si="9"/>
        <v>22.825000000000028</v>
      </c>
      <c r="Z4" s="1">
        <f t="shared" si="10"/>
        <v>26.205000000000037</v>
      </c>
      <c r="AB4">
        <v>2</v>
      </c>
      <c r="AC4" t="s">
        <v>49</v>
      </c>
      <c r="AD4" s="1">
        <v>0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L4" s="1">
        <v>0</v>
      </c>
      <c r="AM4" s="1">
        <v>0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T4" s="1">
        <v>0</v>
      </c>
      <c r="AU4" s="1">
        <v>0</v>
      </c>
      <c r="AV4" s="1">
        <v>1</v>
      </c>
      <c r="AW4" s="1">
        <v>1</v>
      </c>
      <c r="AX4" s="1">
        <v>1</v>
      </c>
      <c r="AY4" s="1">
        <v>1</v>
      </c>
      <c r="BA4" s="1">
        <v>0</v>
      </c>
      <c r="BB4" s="1">
        <v>0</v>
      </c>
      <c r="BC4" s="1">
        <v>1</v>
      </c>
      <c r="BD4" s="1">
        <v>1</v>
      </c>
      <c r="BE4" s="1">
        <v>1</v>
      </c>
      <c r="BG4" s="1">
        <v>0</v>
      </c>
      <c r="BH4" s="1">
        <v>0</v>
      </c>
      <c r="BI4" s="1">
        <v>1</v>
      </c>
      <c r="BK4" s="1">
        <v>0</v>
      </c>
      <c r="BL4" s="1">
        <v>0</v>
      </c>
      <c r="BM4" s="1">
        <v>1</v>
      </c>
      <c r="BO4" s="1">
        <v>0</v>
      </c>
      <c r="BP4" s="1">
        <v>0</v>
      </c>
      <c r="BR4" s="1">
        <v>0</v>
      </c>
      <c r="BS4" s="21"/>
    </row>
    <row r="5" spans="1:71" x14ac:dyDescent="0.3">
      <c r="A5" s="1" t="s">
        <v>30</v>
      </c>
      <c r="B5" s="1">
        <v>0</v>
      </c>
      <c r="C5" s="1">
        <v>2.23</v>
      </c>
      <c r="D5" s="1">
        <v>1.34</v>
      </c>
      <c r="E5" s="1">
        <v>0.12</v>
      </c>
      <c r="F5" s="1">
        <v>0.77</v>
      </c>
      <c r="G5" s="1">
        <v>0.12</v>
      </c>
      <c r="H5" s="1">
        <v>2</v>
      </c>
      <c r="I5" s="1">
        <v>0</v>
      </c>
      <c r="J5" s="1">
        <v>2.2000000000000002</v>
      </c>
      <c r="K5" s="1">
        <v>1.34</v>
      </c>
      <c r="L5" s="1">
        <v>0.12</v>
      </c>
      <c r="M5" s="1">
        <v>0.77</v>
      </c>
      <c r="N5" s="1">
        <v>0.12</v>
      </c>
      <c r="O5" s="1">
        <v>2</v>
      </c>
      <c r="P5" s="1">
        <v>2.25</v>
      </c>
      <c r="Q5" t="s">
        <v>45</v>
      </c>
      <c r="R5" s="1">
        <f t="shared" si="2"/>
        <v>8.9450000000000038</v>
      </c>
      <c r="S5" s="1">
        <f t="shared" si="3"/>
        <v>8.9450000000000038</v>
      </c>
      <c r="T5" s="1">
        <f t="shared" si="4"/>
        <v>14.475000000000012</v>
      </c>
      <c r="U5" s="1">
        <f t="shared" si="5"/>
        <v>15.605000000000022</v>
      </c>
      <c r="V5" s="1">
        <f t="shared" si="6"/>
        <v>20.625000000000025</v>
      </c>
      <c r="W5" s="1">
        <f t="shared" si="7"/>
        <v>20.625000000000025</v>
      </c>
      <c r="X5" s="1">
        <f t="shared" si="8"/>
        <v>25.195000000000032</v>
      </c>
      <c r="Y5" s="1">
        <f t="shared" si="9"/>
        <v>26.085000000000033</v>
      </c>
      <c r="Z5" s="1">
        <f t="shared" si="10"/>
        <v>28.455000000000037</v>
      </c>
      <c r="AB5">
        <v>3</v>
      </c>
      <c r="AC5" t="s">
        <v>50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/>
      <c r="AL5" s="1">
        <v>0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/>
      <c r="AT5" s="1">
        <v>0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/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/>
      <c r="BG5" s="1">
        <v>0</v>
      </c>
      <c r="BH5" s="1">
        <v>1</v>
      </c>
      <c r="BI5" s="1">
        <v>1</v>
      </c>
      <c r="BJ5" s="1"/>
      <c r="BK5" s="1">
        <v>0</v>
      </c>
      <c r="BL5" s="1">
        <v>1</v>
      </c>
      <c r="BM5" s="1">
        <v>1</v>
      </c>
      <c r="BN5" s="1"/>
      <c r="BO5" s="1">
        <v>0</v>
      </c>
      <c r="BP5" s="1">
        <v>1</v>
      </c>
      <c r="BQ5" s="1"/>
      <c r="BR5" s="1">
        <v>1</v>
      </c>
    </row>
    <row r="6" spans="1:71" x14ac:dyDescent="0.3">
      <c r="K6">
        <f>2.25-1.34</f>
        <v>0.90999999999999992</v>
      </c>
      <c r="AB6">
        <v>4</v>
      </c>
      <c r="AC6" t="s">
        <v>47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/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/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/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/>
      <c r="BG6" s="1">
        <v>0</v>
      </c>
      <c r="BH6" s="1">
        <v>0</v>
      </c>
      <c r="BI6" s="1">
        <v>0</v>
      </c>
      <c r="BJ6" s="1"/>
      <c r="BK6" s="1">
        <v>0</v>
      </c>
      <c r="BL6" s="1">
        <v>0</v>
      </c>
      <c r="BM6" s="1">
        <v>0</v>
      </c>
      <c r="BN6" s="1"/>
      <c r="BO6" s="1">
        <v>1</v>
      </c>
      <c r="BP6" s="1">
        <v>0</v>
      </c>
      <c r="BQ6" s="1"/>
      <c r="BR6" s="1">
        <v>1</v>
      </c>
    </row>
    <row r="7" spans="1:71" x14ac:dyDescent="0.3">
      <c r="AB7">
        <v>5</v>
      </c>
      <c r="AC7" t="s">
        <v>51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>
        <v>0</v>
      </c>
      <c r="AL7" s="1">
        <v>1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T7" s="1">
        <v>1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BA7" s="1">
        <v>1</v>
      </c>
      <c r="BB7" s="1">
        <v>1</v>
      </c>
      <c r="BC7" s="1">
        <v>0</v>
      </c>
      <c r="BD7" s="1">
        <v>0</v>
      </c>
      <c r="BE7" s="1">
        <v>0</v>
      </c>
      <c r="BG7" s="1">
        <v>1</v>
      </c>
      <c r="BH7" s="1">
        <v>1</v>
      </c>
      <c r="BI7" s="1">
        <v>0</v>
      </c>
      <c r="BK7" s="1">
        <v>1</v>
      </c>
      <c r="BL7" s="1">
        <v>1</v>
      </c>
      <c r="BM7" s="1">
        <v>0</v>
      </c>
      <c r="BO7" s="1">
        <v>1</v>
      </c>
      <c r="BP7" s="1">
        <v>1</v>
      </c>
      <c r="BR7" s="1">
        <v>1</v>
      </c>
    </row>
    <row r="8" spans="1:71" x14ac:dyDescent="0.3">
      <c r="A8" t="s">
        <v>19</v>
      </c>
      <c r="B8" s="9">
        <f>SUM(B2:C2)</f>
        <v>2.23</v>
      </c>
      <c r="C8" s="9"/>
      <c r="D8">
        <f>2.2</f>
        <v>2.2000000000000002</v>
      </c>
      <c r="E8">
        <v>2.25</v>
      </c>
      <c r="I8" s="9">
        <f>SUM(I2:J2)</f>
        <v>2.2000000000000002</v>
      </c>
      <c r="J8" s="9"/>
      <c r="AB8">
        <v>6</v>
      </c>
      <c r="AC8" t="s">
        <v>52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G8" s="1">
        <v>1</v>
      </c>
      <c r="BH8" s="1">
        <v>0</v>
      </c>
      <c r="BI8" s="1">
        <v>0</v>
      </c>
      <c r="BK8" s="1">
        <v>1</v>
      </c>
      <c r="BL8" s="1">
        <v>0</v>
      </c>
      <c r="BM8" s="1">
        <v>0</v>
      </c>
      <c r="BO8" s="1">
        <v>1</v>
      </c>
      <c r="BP8" s="1">
        <v>0</v>
      </c>
      <c r="BR8" s="1">
        <v>0</v>
      </c>
    </row>
    <row r="9" spans="1:71" x14ac:dyDescent="0.3">
      <c r="A9" t="s">
        <v>20</v>
      </c>
      <c r="B9" s="10">
        <f>SUM(B3:C3)</f>
        <v>2.23</v>
      </c>
      <c r="C9" s="10"/>
      <c r="D9">
        <f t="shared" ref="D9:D11" si="11">2.2</f>
        <v>2.2000000000000002</v>
      </c>
      <c r="E9">
        <v>2.25</v>
      </c>
      <c r="I9" s="9">
        <f t="shared" ref="I9:I11" si="12">SUM(I3:J3)</f>
        <v>2.2000000000000002</v>
      </c>
      <c r="J9" s="10"/>
      <c r="AA9" t="s">
        <v>54</v>
      </c>
      <c r="AB9">
        <v>7</v>
      </c>
      <c r="AC9" t="s">
        <v>55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>
        <v>1</v>
      </c>
      <c r="AJ9" s="1">
        <v>1</v>
      </c>
      <c r="AL9" s="1">
        <v>0</v>
      </c>
      <c r="AM9">
        <v>0</v>
      </c>
      <c r="AN9" s="1">
        <v>0</v>
      </c>
      <c r="AO9" s="1">
        <v>1</v>
      </c>
      <c r="AP9" s="1">
        <v>1</v>
      </c>
      <c r="AQ9" s="1">
        <v>1</v>
      </c>
      <c r="AR9" s="1">
        <v>1</v>
      </c>
      <c r="AT9" s="1">
        <v>0</v>
      </c>
      <c r="AU9" s="1">
        <v>0</v>
      </c>
      <c r="AV9" s="1">
        <v>0</v>
      </c>
      <c r="AW9" s="1">
        <v>1</v>
      </c>
      <c r="AX9" s="1">
        <v>1</v>
      </c>
      <c r="AY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G9" s="1">
        <v>0</v>
      </c>
      <c r="BH9" s="1">
        <v>0</v>
      </c>
      <c r="BI9" s="1">
        <v>0</v>
      </c>
      <c r="BK9" s="1">
        <v>0</v>
      </c>
      <c r="BL9" s="1">
        <v>0</v>
      </c>
      <c r="BM9" s="1">
        <v>0</v>
      </c>
      <c r="BO9" s="1">
        <v>0</v>
      </c>
      <c r="BP9" s="1">
        <v>0</v>
      </c>
      <c r="BR9" s="1">
        <v>0</v>
      </c>
    </row>
    <row r="10" spans="1:71" x14ac:dyDescent="0.3">
      <c r="A10" t="s">
        <v>28</v>
      </c>
      <c r="B10" s="9">
        <f>SUM(B4:C4)</f>
        <v>2.23</v>
      </c>
      <c r="C10" s="2"/>
      <c r="D10">
        <f t="shared" si="11"/>
        <v>2.2000000000000002</v>
      </c>
      <c r="E10">
        <v>2.25</v>
      </c>
      <c r="I10" s="9">
        <f t="shared" si="12"/>
        <v>2.2000000000000002</v>
      </c>
      <c r="J10" s="2"/>
      <c r="AB10">
        <v>8</v>
      </c>
      <c r="AC10" t="s">
        <v>56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L10" s="1">
        <v>0</v>
      </c>
      <c r="AM10" s="1">
        <v>0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T10" s="1">
        <v>0</v>
      </c>
      <c r="AU10" s="1">
        <v>0</v>
      </c>
      <c r="AV10" s="1">
        <v>0</v>
      </c>
      <c r="AW10" s="1">
        <v>1</v>
      </c>
      <c r="AX10" s="1">
        <v>1</v>
      </c>
      <c r="AY10" s="1">
        <v>1</v>
      </c>
      <c r="BA10" s="1">
        <v>0</v>
      </c>
      <c r="BB10" s="1">
        <v>0</v>
      </c>
      <c r="BC10" s="1">
        <v>1</v>
      </c>
      <c r="BD10" s="1">
        <v>1</v>
      </c>
      <c r="BE10" s="1">
        <v>1</v>
      </c>
      <c r="BG10" s="1">
        <v>0</v>
      </c>
      <c r="BH10" s="1">
        <v>0</v>
      </c>
      <c r="BI10" s="1">
        <v>1</v>
      </c>
      <c r="BK10" s="1">
        <v>0</v>
      </c>
      <c r="BL10" s="1">
        <v>0</v>
      </c>
      <c r="BM10" s="1">
        <v>1</v>
      </c>
      <c r="BO10" s="1">
        <v>0</v>
      </c>
      <c r="BP10" s="1">
        <v>0</v>
      </c>
      <c r="BR10" s="1">
        <v>0</v>
      </c>
    </row>
    <row r="11" spans="1:71" x14ac:dyDescent="0.3">
      <c r="A11" t="s">
        <v>30</v>
      </c>
      <c r="B11" s="9">
        <f>SUM(B5:C5)</f>
        <v>2.23</v>
      </c>
      <c r="C11" s="2"/>
      <c r="D11">
        <f t="shared" si="11"/>
        <v>2.2000000000000002</v>
      </c>
      <c r="E11">
        <v>2.25</v>
      </c>
      <c r="I11" s="9">
        <f t="shared" si="12"/>
        <v>2.2000000000000002</v>
      </c>
      <c r="J11" s="2"/>
      <c r="AB11">
        <v>9</v>
      </c>
      <c r="AC11" t="s">
        <v>57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L11" s="1">
        <v>0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T11" s="1">
        <v>0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G11" s="1">
        <v>0</v>
      </c>
      <c r="BH11" s="1">
        <v>1</v>
      </c>
      <c r="BI11" s="1">
        <v>1</v>
      </c>
      <c r="BK11" s="1">
        <v>0</v>
      </c>
      <c r="BL11" s="1">
        <v>1</v>
      </c>
      <c r="BM11" s="1">
        <v>1</v>
      </c>
      <c r="BO11" s="1">
        <v>0</v>
      </c>
      <c r="BP11" s="1">
        <v>1</v>
      </c>
      <c r="BR11" s="1">
        <v>1</v>
      </c>
    </row>
    <row r="12" spans="1:71" x14ac:dyDescent="0.3">
      <c r="B12" s="2"/>
      <c r="C12" s="2"/>
      <c r="I12" s="2"/>
      <c r="J12" s="2"/>
      <c r="AB12">
        <v>10</v>
      </c>
      <c r="AC12" t="s">
        <v>58</v>
      </c>
      <c r="AD12" s="1">
        <v>1</v>
      </c>
      <c r="AE12" s="1">
        <v>1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L12" s="1">
        <v>1</v>
      </c>
      <c r="AM12" s="1">
        <v>1</v>
      </c>
      <c r="AN12" s="1">
        <v>1</v>
      </c>
      <c r="AO12" s="1">
        <v>0</v>
      </c>
      <c r="AP12" s="1">
        <v>0</v>
      </c>
      <c r="AQ12" s="1">
        <v>0</v>
      </c>
      <c r="AR12" s="1">
        <v>0</v>
      </c>
      <c r="AT12" s="1">
        <v>1</v>
      </c>
      <c r="AU12" s="1">
        <v>1</v>
      </c>
      <c r="AV12" s="1">
        <v>1</v>
      </c>
      <c r="AW12" s="1">
        <v>0</v>
      </c>
      <c r="AX12" s="1">
        <v>0</v>
      </c>
      <c r="AY12" s="1">
        <v>0</v>
      </c>
      <c r="BA12" s="1">
        <v>1</v>
      </c>
      <c r="BB12" s="1">
        <v>1</v>
      </c>
      <c r="BC12" s="1">
        <v>1</v>
      </c>
      <c r="BD12" s="1">
        <v>1</v>
      </c>
      <c r="BE12" s="1">
        <v>0</v>
      </c>
      <c r="BG12" s="1">
        <v>1</v>
      </c>
      <c r="BH12" s="1">
        <v>1</v>
      </c>
      <c r="BI12" s="1">
        <v>1</v>
      </c>
      <c r="BK12" s="1">
        <v>1</v>
      </c>
      <c r="BL12" s="1">
        <v>1</v>
      </c>
      <c r="BM12" s="1">
        <v>1</v>
      </c>
      <c r="BO12" s="1">
        <v>1</v>
      </c>
      <c r="BP12" s="1">
        <v>1</v>
      </c>
      <c r="BR12" s="1">
        <v>1</v>
      </c>
    </row>
    <row r="13" spans="1:71" x14ac:dyDescent="0.3">
      <c r="B13" s="2"/>
      <c r="C13" s="2"/>
      <c r="I13" s="2"/>
      <c r="J13" s="2"/>
      <c r="AA13" t="s">
        <v>21</v>
      </c>
      <c r="AB13">
        <v>11</v>
      </c>
      <c r="AC13" s="2" t="s">
        <v>59</v>
      </c>
      <c r="AD13" s="13">
        <v>1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2"/>
      <c r="AL13" s="13">
        <v>1</v>
      </c>
      <c r="AM13" s="13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T13" s="1">
        <v>1</v>
      </c>
      <c r="AU13" s="1">
        <v>1</v>
      </c>
      <c r="AV13" s="1">
        <v>1</v>
      </c>
      <c r="AW13" s="1">
        <v>0</v>
      </c>
      <c r="AX13" s="1">
        <v>0</v>
      </c>
      <c r="AY13" s="1">
        <v>0</v>
      </c>
      <c r="BA13" s="1">
        <v>1</v>
      </c>
      <c r="BB13" s="1">
        <v>1</v>
      </c>
      <c r="BC13" s="1">
        <v>0</v>
      </c>
      <c r="BD13" s="1">
        <v>0</v>
      </c>
      <c r="BE13" s="1">
        <v>0</v>
      </c>
      <c r="BG13" s="1">
        <v>1</v>
      </c>
      <c r="BH13" s="1">
        <v>1</v>
      </c>
      <c r="BI13" s="1">
        <v>0</v>
      </c>
      <c r="BK13" s="1">
        <v>1</v>
      </c>
      <c r="BL13" s="1">
        <v>1</v>
      </c>
      <c r="BM13" s="1">
        <v>0</v>
      </c>
      <c r="BO13" s="1">
        <v>1</v>
      </c>
      <c r="BP13" s="1">
        <v>1</v>
      </c>
      <c r="BR13" s="1">
        <v>1</v>
      </c>
    </row>
    <row r="14" spans="1:71" x14ac:dyDescent="0.3">
      <c r="A14" t="s">
        <v>22</v>
      </c>
      <c r="AB14">
        <v>12</v>
      </c>
      <c r="AC14" t="s">
        <v>60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T14" s="1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G14" s="1">
        <v>1</v>
      </c>
      <c r="BH14" s="1">
        <v>0</v>
      </c>
      <c r="BI14" s="1">
        <v>0</v>
      </c>
      <c r="BK14" s="1">
        <v>1</v>
      </c>
      <c r="BL14" s="1">
        <v>0</v>
      </c>
      <c r="BM14" s="1">
        <v>0</v>
      </c>
      <c r="BO14" s="1">
        <v>1</v>
      </c>
      <c r="BP14" s="1">
        <v>0</v>
      </c>
      <c r="BR14" s="1">
        <v>0</v>
      </c>
    </row>
    <row r="15" spans="1:71" x14ac:dyDescent="0.3">
      <c r="B15" s="3" t="s">
        <v>1</v>
      </c>
      <c r="C15" s="3" t="s">
        <v>2</v>
      </c>
      <c r="D15" t="s">
        <v>3</v>
      </c>
      <c r="E15" s="3" t="s">
        <v>4</v>
      </c>
      <c r="F15" t="s">
        <v>5</v>
      </c>
      <c r="G15" s="3" t="s">
        <v>6</v>
      </c>
      <c r="H15" t="s">
        <v>7</v>
      </c>
      <c r="I15" s="3" t="s">
        <v>8</v>
      </c>
      <c r="J15" s="3" t="s">
        <v>9</v>
      </c>
      <c r="K15" t="s">
        <v>10</v>
      </c>
      <c r="L15" s="3" t="s">
        <v>11</v>
      </c>
      <c r="M15" t="s">
        <v>12</v>
      </c>
      <c r="N15" s="3" t="s">
        <v>13</v>
      </c>
      <c r="O15" t="s">
        <v>14</v>
      </c>
      <c r="P15" s="3" t="s">
        <v>15</v>
      </c>
      <c r="R15" s="3" t="s">
        <v>1</v>
      </c>
      <c r="S15" s="3" t="s">
        <v>2</v>
      </c>
      <c r="T15" s="3" t="s">
        <v>4</v>
      </c>
      <c r="U15" s="3" t="s">
        <v>6</v>
      </c>
      <c r="V15" s="3" t="s">
        <v>8</v>
      </c>
      <c r="W15" s="3" t="s">
        <v>9</v>
      </c>
      <c r="X15" s="3" t="s">
        <v>11</v>
      </c>
      <c r="Y15" s="3" t="s">
        <v>13</v>
      </c>
      <c r="Z15" s="3" t="s">
        <v>15</v>
      </c>
      <c r="AD15" s="1">
        <f>SUM(AD3:AD14)</f>
        <v>6</v>
      </c>
      <c r="AE15" s="1">
        <f t="shared" ref="AE15:BR15" si="13">SUM(AE3:AE14)</f>
        <v>6</v>
      </c>
      <c r="AF15" s="1">
        <f t="shared" si="13"/>
        <v>6</v>
      </c>
      <c r="AG15" s="1">
        <f t="shared" si="13"/>
        <v>6</v>
      </c>
      <c r="AH15" s="1">
        <f t="shared" si="13"/>
        <v>6</v>
      </c>
      <c r="AI15" s="1">
        <f t="shared" si="13"/>
        <v>6</v>
      </c>
      <c r="AJ15" s="1">
        <f t="shared" si="13"/>
        <v>6</v>
      </c>
      <c r="AK15" s="1">
        <f t="shared" si="13"/>
        <v>0</v>
      </c>
      <c r="AL15" s="1">
        <f t="shared" si="13"/>
        <v>6</v>
      </c>
      <c r="AM15" s="1">
        <f t="shared" si="13"/>
        <v>6</v>
      </c>
      <c r="AN15" s="1">
        <f t="shared" si="13"/>
        <v>6</v>
      </c>
      <c r="AO15" s="1">
        <f>SUM(AO3:AO14)</f>
        <v>6</v>
      </c>
      <c r="AP15" s="1">
        <f t="shared" si="13"/>
        <v>6</v>
      </c>
      <c r="AQ15" s="1">
        <f t="shared" si="13"/>
        <v>6</v>
      </c>
      <c r="AR15" s="1">
        <f t="shared" si="13"/>
        <v>6</v>
      </c>
      <c r="AS15" s="1">
        <f t="shared" si="13"/>
        <v>0</v>
      </c>
      <c r="AT15" s="1">
        <f t="shared" si="13"/>
        <v>6</v>
      </c>
      <c r="AU15" s="1">
        <f t="shared" si="13"/>
        <v>6</v>
      </c>
      <c r="AV15" s="1">
        <f t="shared" si="13"/>
        <v>6</v>
      </c>
      <c r="AW15" s="1">
        <f t="shared" si="13"/>
        <v>6</v>
      </c>
      <c r="AX15" s="1">
        <f t="shared" si="13"/>
        <v>6</v>
      </c>
      <c r="AY15" s="1">
        <f t="shared" si="13"/>
        <v>6</v>
      </c>
      <c r="AZ15" s="1">
        <f t="shared" si="13"/>
        <v>0</v>
      </c>
      <c r="BA15" s="1">
        <f t="shared" si="13"/>
        <v>6</v>
      </c>
      <c r="BB15" s="1">
        <f t="shared" si="13"/>
        <v>6</v>
      </c>
      <c r="BC15" s="1">
        <f t="shared" si="13"/>
        <v>6</v>
      </c>
      <c r="BD15" s="1">
        <f t="shared" si="13"/>
        <v>6</v>
      </c>
      <c r="BE15" s="1">
        <f t="shared" si="13"/>
        <v>6</v>
      </c>
      <c r="BF15" s="1">
        <f t="shared" si="13"/>
        <v>0</v>
      </c>
      <c r="BG15" s="1">
        <f t="shared" si="13"/>
        <v>6</v>
      </c>
      <c r="BH15" s="1">
        <f t="shared" si="13"/>
        <v>6</v>
      </c>
      <c r="BI15" s="1">
        <f t="shared" si="13"/>
        <v>6</v>
      </c>
      <c r="BJ15" s="1">
        <f t="shared" si="13"/>
        <v>0</v>
      </c>
      <c r="BK15" s="1">
        <f t="shared" si="13"/>
        <v>6</v>
      </c>
      <c r="BL15" s="1">
        <f t="shared" si="13"/>
        <v>6</v>
      </c>
      <c r="BM15" s="1">
        <f t="shared" si="13"/>
        <v>6</v>
      </c>
      <c r="BN15" s="1">
        <f t="shared" si="13"/>
        <v>0</v>
      </c>
      <c r="BO15" s="1">
        <f t="shared" si="13"/>
        <v>6</v>
      </c>
      <c r="BP15" s="1">
        <f t="shared" si="13"/>
        <v>6</v>
      </c>
      <c r="BQ15" s="1">
        <f t="shared" si="13"/>
        <v>0</v>
      </c>
      <c r="BR15" s="1">
        <f t="shared" si="13"/>
        <v>6</v>
      </c>
    </row>
    <row r="16" spans="1:71" x14ac:dyDescent="0.3">
      <c r="A16" s="1" t="s">
        <v>16</v>
      </c>
      <c r="B16" s="1">
        <v>0</v>
      </c>
      <c r="C16" s="1">
        <v>0</v>
      </c>
      <c r="D16" s="1">
        <v>2.23</v>
      </c>
      <c r="E16" s="1">
        <v>4.4599999999999937</v>
      </c>
      <c r="F16" s="1">
        <v>4.5799999999999939</v>
      </c>
      <c r="G16" s="1">
        <v>5.3649999999999984</v>
      </c>
      <c r="H16" s="1">
        <v>5.4849999999999985</v>
      </c>
      <c r="I16" s="1">
        <v>7.4849999999999994</v>
      </c>
      <c r="J16" s="1">
        <v>11.175000000000001</v>
      </c>
      <c r="K16" s="1">
        <v>12.155000000000008</v>
      </c>
      <c r="L16" s="1">
        <v>14.595000000000017</v>
      </c>
      <c r="M16" s="1">
        <v>14.715000000000016</v>
      </c>
      <c r="N16" s="17">
        <v>15.485000000000017</v>
      </c>
      <c r="O16" s="1">
        <v>15.605000000000016</v>
      </c>
      <c r="P16" s="1">
        <v>18.135000000000016</v>
      </c>
      <c r="Q16" s="7" t="s">
        <v>31</v>
      </c>
      <c r="R16" s="1">
        <f t="shared" ref="R16:S16" si="14">B30</f>
        <v>0</v>
      </c>
      <c r="S16" s="1">
        <f t="shared" si="14"/>
        <v>2.23</v>
      </c>
      <c r="T16" s="1">
        <f>E30</f>
        <v>4.5799999999999939</v>
      </c>
      <c r="U16" s="1">
        <f>G30</f>
        <v>5.4849999999999985</v>
      </c>
      <c r="V16" s="1">
        <f t="shared" ref="V16:W16" si="15">I30</f>
        <v>8.7049999999999912</v>
      </c>
      <c r="W16" s="1">
        <f t="shared" si="15"/>
        <v>12.155000000000008</v>
      </c>
      <c r="X16" s="1">
        <f>L30</f>
        <v>14.715000000000016</v>
      </c>
      <c r="Y16" s="1">
        <f>N30</f>
        <v>15.605000000000016</v>
      </c>
      <c r="Z16" s="1">
        <f>P30</f>
        <v>20.385000000000016</v>
      </c>
      <c r="AD16" s="1"/>
      <c r="AE16" s="1"/>
      <c r="AF16" s="1"/>
      <c r="AG16" s="1"/>
      <c r="AH16" s="1"/>
      <c r="AI16" s="1"/>
      <c r="AJ16" s="1"/>
      <c r="AL16" s="1"/>
      <c r="AM16" s="1"/>
      <c r="AN16" s="1"/>
      <c r="AO16" s="1"/>
      <c r="AP16" s="1"/>
      <c r="AQ16" s="1"/>
      <c r="AR16" s="1"/>
      <c r="AT16" s="1"/>
      <c r="AU16" s="1"/>
      <c r="AV16" s="1"/>
      <c r="AW16" s="1"/>
      <c r="AX16" s="1"/>
      <c r="AY16" s="1"/>
      <c r="BA16" s="1"/>
      <c r="BB16" s="1"/>
      <c r="BC16" s="1"/>
      <c r="BD16" s="1"/>
      <c r="BE16" s="1"/>
      <c r="BG16" s="1"/>
      <c r="BH16" s="1"/>
      <c r="BI16" s="1"/>
      <c r="BK16" s="1"/>
      <c r="BL16" s="1"/>
      <c r="BM16" s="1"/>
      <c r="BO16" s="1"/>
      <c r="BP16" s="1"/>
      <c r="BR16" s="1"/>
    </row>
    <row r="17" spans="1:70" x14ac:dyDescent="0.3">
      <c r="A17" s="1" t="s">
        <v>18</v>
      </c>
      <c r="B17" s="1">
        <v>2.23</v>
      </c>
      <c r="C17" s="1">
        <v>4.5799999999999983</v>
      </c>
      <c r="D17" s="1">
        <v>4.5799999999999983</v>
      </c>
      <c r="E17" s="1">
        <v>5.9199999999999982</v>
      </c>
      <c r="F17" s="1">
        <v>6.0399999999999983</v>
      </c>
      <c r="G17" s="1">
        <v>8.7049999999999947</v>
      </c>
      <c r="H17" s="1">
        <v>8.824999999999994</v>
      </c>
      <c r="I17" s="1">
        <v>12.275000000000013</v>
      </c>
      <c r="J17" s="1">
        <v>12.275000000000013</v>
      </c>
      <c r="K17" s="1">
        <v>14.475000000000012</v>
      </c>
      <c r="L17" s="1">
        <v>15.815000000000012</v>
      </c>
      <c r="M17" s="1">
        <v>15.935000000000011</v>
      </c>
      <c r="N17" s="1">
        <v>20.385000000000016</v>
      </c>
      <c r="O17" s="1">
        <v>20.505000000000017</v>
      </c>
      <c r="P17" s="1">
        <v>22.945000000000032</v>
      </c>
      <c r="Q17" s="7" t="s">
        <v>32</v>
      </c>
      <c r="R17" s="1">
        <f t="shared" ref="R17:R19" si="16">B31</f>
        <v>4.46</v>
      </c>
      <c r="S17" s="1">
        <f t="shared" ref="S17:S19" si="17">C31</f>
        <v>4.5799999999999983</v>
      </c>
      <c r="T17" s="1">
        <f t="shared" ref="T17:T19" si="18">E31</f>
        <v>6.0399999999999983</v>
      </c>
      <c r="U17" s="1">
        <f t="shared" ref="U17:U19" si="19">G31</f>
        <v>8.824999999999994</v>
      </c>
      <c r="V17" s="1">
        <f t="shared" ref="V17:V19" si="20">I31</f>
        <v>12.275000000000013</v>
      </c>
      <c r="W17" s="1">
        <f t="shared" ref="W17:W19" si="21">J31</f>
        <v>14.475000000000012</v>
      </c>
      <c r="X17" s="1">
        <f t="shared" ref="X17:X19" si="22">L31</f>
        <v>15.935000000000011</v>
      </c>
      <c r="Y17" s="1">
        <f t="shared" ref="Y17:Y19" si="23">N31</f>
        <v>20.505000000000017</v>
      </c>
      <c r="Z17" s="1">
        <f t="shared" ref="Z17:Z19" si="24">P31</f>
        <v>25.195000000000032</v>
      </c>
      <c r="AA17" s="4">
        <f>SUM(D2:H5,K2:P5,D8:E11)</f>
        <v>61.600000000000009</v>
      </c>
      <c r="AC17" t="s">
        <v>47</v>
      </c>
      <c r="AD17" s="1">
        <f>SUM(AD3,AD6)</f>
        <v>1</v>
      </c>
      <c r="AE17" s="1">
        <f t="shared" ref="AE17:BR17" si="25">SUM(AE3,AE6)</f>
        <v>1</v>
      </c>
      <c r="AF17" s="1">
        <f t="shared" si="25"/>
        <v>1</v>
      </c>
      <c r="AG17" s="1">
        <f t="shared" si="25"/>
        <v>1</v>
      </c>
      <c r="AH17" s="1">
        <f t="shared" si="25"/>
        <v>1</v>
      </c>
      <c r="AI17" s="1">
        <f t="shared" si="25"/>
        <v>1</v>
      </c>
      <c r="AJ17" s="1">
        <f t="shared" si="25"/>
        <v>1</v>
      </c>
      <c r="AK17" s="1">
        <f t="shared" si="25"/>
        <v>0</v>
      </c>
      <c r="AL17" s="1">
        <f t="shared" si="25"/>
        <v>1</v>
      </c>
      <c r="AM17" s="1">
        <f t="shared" si="25"/>
        <v>1</v>
      </c>
      <c r="AN17" s="1">
        <f t="shared" si="25"/>
        <v>1</v>
      </c>
      <c r="AO17" s="1">
        <f t="shared" si="25"/>
        <v>1</v>
      </c>
      <c r="AP17" s="1">
        <f t="shared" si="25"/>
        <v>1</v>
      </c>
      <c r="AQ17" s="1">
        <f t="shared" si="25"/>
        <v>1</v>
      </c>
      <c r="AR17" s="1">
        <f t="shared" si="25"/>
        <v>1</v>
      </c>
      <c r="AS17" s="1">
        <f t="shared" si="25"/>
        <v>0</v>
      </c>
      <c r="AT17" s="1">
        <f t="shared" si="25"/>
        <v>1</v>
      </c>
      <c r="AU17" s="1">
        <f t="shared" si="25"/>
        <v>1</v>
      </c>
      <c r="AV17" s="1">
        <f t="shared" si="25"/>
        <v>1</v>
      </c>
      <c r="AW17" s="1">
        <f t="shared" si="25"/>
        <v>1</v>
      </c>
      <c r="AX17" s="1">
        <f t="shared" si="25"/>
        <v>1</v>
      </c>
      <c r="AY17" s="1">
        <f t="shared" si="25"/>
        <v>1</v>
      </c>
      <c r="AZ17" s="1">
        <f t="shared" si="25"/>
        <v>0</v>
      </c>
      <c r="BA17" s="1">
        <f t="shared" si="25"/>
        <v>1</v>
      </c>
      <c r="BB17" s="1">
        <f t="shared" si="25"/>
        <v>1</v>
      </c>
      <c r="BC17" s="1">
        <f t="shared" si="25"/>
        <v>1</v>
      </c>
      <c r="BD17" s="1">
        <f t="shared" si="25"/>
        <v>1</v>
      </c>
      <c r="BE17" s="1">
        <f t="shared" si="25"/>
        <v>1</v>
      </c>
      <c r="BF17" s="1">
        <f t="shared" si="25"/>
        <v>0</v>
      </c>
      <c r="BG17" s="1">
        <f t="shared" si="25"/>
        <v>1</v>
      </c>
      <c r="BH17" s="1">
        <f t="shared" si="25"/>
        <v>1</v>
      </c>
      <c r="BI17" s="1">
        <f t="shared" si="25"/>
        <v>1</v>
      </c>
      <c r="BJ17" s="1">
        <f t="shared" si="25"/>
        <v>0</v>
      </c>
      <c r="BK17" s="1">
        <f t="shared" si="25"/>
        <v>1</v>
      </c>
      <c r="BL17" s="1">
        <f t="shared" si="25"/>
        <v>1</v>
      </c>
      <c r="BM17" s="1">
        <f t="shared" si="25"/>
        <v>1</v>
      </c>
      <c r="BN17" s="1">
        <f t="shared" si="25"/>
        <v>0</v>
      </c>
      <c r="BO17" s="1">
        <f t="shared" si="25"/>
        <v>1</v>
      </c>
      <c r="BP17" s="1">
        <f t="shared" si="25"/>
        <v>1</v>
      </c>
      <c r="BQ17" s="1">
        <f t="shared" si="25"/>
        <v>0</v>
      </c>
      <c r="BR17" s="1">
        <f t="shared" si="25"/>
        <v>1</v>
      </c>
    </row>
    <row r="18" spans="1:70" x14ac:dyDescent="0.3">
      <c r="A18" s="1" t="s">
        <v>28</v>
      </c>
      <c r="B18" s="1">
        <v>4.5799999999999983</v>
      </c>
      <c r="C18" s="1">
        <v>6.0400000000000027</v>
      </c>
      <c r="D18" s="1">
        <v>7.4849999999999994</v>
      </c>
      <c r="E18" s="1">
        <v>8.8249999999999993</v>
      </c>
      <c r="F18" s="1">
        <v>8.9449999999999985</v>
      </c>
      <c r="G18" s="1">
        <v>12.155000000000008</v>
      </c>
      <c r="H18" s="1">
        <v>12.275000000000007</v>
      </c>
      <c r="I18" s="1">
        <v>15.935000000000016</v>
      </c>
      <c r="J18" s="1">
        <v>15.935000000000016</v>
      </c>
      <c r="K18" s="1">
        <v>18.135000000000016</v>
      </c>
      <c r="L18" s="1">
        <v>20.50500000000002</v>
      </c>
      <c r="M18" s="1">
        <v>20.625000000000021</v>
      </c>
      <c r="N18" s="1">
        <v>22.825000000000028</v>
      </c>
      <c r="O18" s="1">
        <v>22.945000000000029</v>
      </c>
      <c r="P18" s="1">
        <v>26.205000000000037</v>
      </c>
      <c r="Q18" t="s">
        <v>33</v>
      </c>
      <c r="R18" s="1">
        <f t="shared" si="16"/>
        <v>5.365000000000002</v>
      </c>
      <c r="S18" s="1">
        <f t="shared" si="17"/>
        <v>7.4849999999999994</v>
      </c>
      <c r="T18" s="1">
        <f t="shared" si="18"/>
        <v>8.9449999999999985</v>
      </c>
      <c r="U18" s="1">
        <f t="shared" si="19"/>
        <v>12.275000000000007</v>
      </c>
      <c r="V18" s="1">
        <f t="shared" si="20"/>
        <v>15.935000000000016</v>
      </c>
      <c r="W18" s="1">
        <f t="shared" si="21"/>
        <v>18.135000000000016</v>
      </c>
      <c r="X18" s="1">
        <f t="shared" si="22"/>
        <v>20.625000000000021</v>
      </c>
      <c r="Y18" s="1">
        <f t="shared" si="23"/>
        <v>22.945000000000029</v>
      </c>
      <c r="Z18" s="1">
        <f t="shared" si="24"/>
        <v>28.455000000000037</v>
      </c>
      <c r="AC18" t="s">
        <v>51</v>
      </c>
      <c r="AD18" s="1">
        <f>SUM(AD7,AD4)</f>
        <v>1</v>
      </c>
      <c r="AE18" s="1">
        <f t="shared" ref="AE18:BR18" si="26">SUM(AE7,AE4)</f>
        <v>1</v>
      </c>
      <c r="AF18" s="1">
        <f t="shared" si="26"/>
        <v>1</v>
      </c>
      <c r="AG18" s="1">
        <f t="shared" si="26"/>
        <v>1</v>
      </c>
      <c r="AH18" s="1">
        <f t="shared" si="26"/>
        <v>1</v>
      </c>
      <c r="AI18" s="1">
        <f t="shared" si="26"/>
        <v>1</v>
      </c>
      <c r="AJ18" s="1">
        <f t="shared" si="26"/>
        <v>1</v>
      </c>
      <c r="AK18" s="1">
        <f t="shared" si="26"/>
        <v>0</v>
      </c>
      <c r="AL18" s="1">
        <f t="shared" si="26"/>
        <v>1</v>
      </c>
      <c r="AM18" s="1">
        <f t="shared" si="26"/>
        <v>1</v>
      </c>
      <c r="AN18" s="1">
        <f t="shared" si="26"/>
        <v>1</v>
      </c>
      <c r="AO18" s="1">
        <f t="shared" si="26"/>
        <v>1</v>
      </c>
      <c r="AP18" s="1">
        <f t="shared" si="26"/>
        <v>1</v>
      </c>
      <c r="AQ18" s="1">
        <f t="shared" si="26"/>
        <v>1</v>
      </c>
      <c r="AR18" s="1">
        <f t="shared" si="26"/>
        <v>1</v>
      </c>
      <c r="AS18" s="1">
        <f t="shared" si="26"/>
        <v>0</v>
      </c>
      <c r="AT18" s="1">
        <f t="shared" si="26"/>
        <v>1</v>
      </c>
      <c r="AU18" s="1">
        <f t="shared" si="26"/>
        <v>1</v>
      </c>
      <c r="AV18" s="1">
        <f t="shared" si="26"/>
        <v>1</v>
      </c>
      <c r="AW18" s="1">
        <f t="shared" si="26"/>
        <v>1</v>
      </c>
      <c r="AX18" s="1">
        <f t="shared" si="26"/>
        <v>1</v>
      </c>
      <c r="AY18" s="1">
        <f t="shared" si="26"/>
        <v>1</v>
      </c>
      <c r="AZ18" s="1">
        <f t="shared" si="26"/>
        <v>0</v>
      </c>
      <c r="BA18" s="1">
        <f t="shared" si="26"/>
        <v>1</v>
      </c>
      <c r="BB18" s="1">
        <f t="shared" si="26"/>
        <v>1</v>
      </c>
      <c r="BC18" s="1">
        <f t="shared" si="26"/>
        <v>1</v>
      </c>
      <c r="BD18" s="1">
        <f t="shared" si="26"/>
        <v>1</v>
      </c>
      <c r="BE18" s="1">
        <f t="shared" si="26"/>
        <v>1</v>
      </c>
      <c r="BF18" s="1">
        <f t="shared" si="26"/>
        <v>0</v>
      </c>
      <c r="BG18" s="1">
        <f t="shared" si="26"/>
        <v>1</v>
      </c>
      <c r="BH18" s="1">
        <f t="shared" si="26"/>
        <v>1</v>
      </c>
      <c r="BI18" s="1">
        <f t="shared" si="26"/>
        <v>1</v>
      </c>
      <c r="BJ18" s="1">
        <f t="shared" si="26"/>
        <v>0</v>
      </c>
      <c r="BK18" s="1">
        <f t="shared" si="26"/>
        <v>1</v>
      </c>
      <c r="BL18" s="1">
        <f t="shared" si="26"/>
        <v>1</v>
      </c>
      <c r="BM18" s="1">
        <f t="shared" si="26"/>
        <v>1</v>
      </c>
      <c r="BN18" s="1">
        <f t="shared" si="26"/>
        <v>0</v>
      </c>
      <c r="BO18" s="1">
        <f t="shared" si="26"/>
        <v>1</v>
      </c>
      <c r="BP18" s="1">
        <f t="shared" si="26"/>
        <v>1</v>
      </c>
      <c r="BQ18" s="1">
        <f t="shared" si="26"/>
        <v>0</v>
      </c>
      <c r="BR18" s="1">
        <f t="shared" si="26"/>
        <v>1</v>
      </c>
    </row>
    <row r="19" spans="1:70" x14ac:dyDescent="0.3">
      <c r="A19" s="1" t="s">
        <v>30</v>
      </c>
      <c r="B19" s="23">
        <v>8.9450000000000038</v>
      </c>
      <c r="C19" s="1">
        <v>8.9450000000000038</v>
      </c>
      <c r="D19" s="1">
        <v>11.175000000000004</v>
      </c>
      <c r="E19" s="1">
        <v>14.475000000000012</v>
      </c>
      <c r="F19" s="1">
        <v>14.595000000000011</v>
      </c>
      <c r="G19" s="13">
        <v>15.605000000000022</v>
      </c>
      <c r="H19" s="1">
        <v>15.725000000000021</v>
      </c>
      <c r="I19" s="1">
        <v>20.625000000000025</v>
      </c>
      <c r="J19" s="1">
        <v>20.625000000000025</v>
      </c>
      <c r="K19" s="1">
        <v>22.825000000000024</v>
      </c>
      <c r="L19" s="1">
        <v>25.195000000000032</v>
      </c>
      <c r="M19" s="1">
        <v>25.315000000000033</v>
      </c>
      <c r="N19" s="1">
        <v>26.085000000000033</v>
      </c>
      <c r="O19" s="1">
        <v>26.205000000000034</v>
      </c>
      <c r="P19" s="1">
        <v>28.455000000000037</v>
      </c>
      <c r="Q19" t="s">
        <v>45</v>
      </c>
      <c r="R19" s="1">
        <f t="shared" si="16"/>
        <v>8.9450000000000038</v>
      </c>
      <c r="S19" s="1">
        <f t="shared" si="17"/>
        <v>11.175000000000004</v>
      </c>
      <c r="T19" s="1">
        <f t="shared" si="18"/>
        <v>14.595000000000011</v>
      </c>
      <c r="U19" s="1">
        <f t="shared" si="19"/>
        <v>15.725000000000021</v>
      </c>
      <c r="V19" s="1">
        <f t="shared" si="20"/>
        <v>20.625000000000025</v>
      </c>
      <c r="W19" s="1">
        <f t="shared" si="21"/>
        <v>22.825000000000024</v>
      </c>
      <c r="X19" s="1">
        <f t="shared" si="22"/>
        <v>25.315000000000033</v>
      </c>
      <c r="Y19" s="1">
        <f t="shared" si="23"/>
        <v>26.205000000000034</v>
      </c>
      <c r="Z19" s="1">
        <f t="shared" si="24"/>
        <v>30.705000000000037</v>
      </c>
      <c r="AC19" t="s">
        <v>58</v>
      </c>
      <c r="AD19" s="1">
        <f>SUM(AD12,AD9)</f>
        <v>1</v>
      </c>
      <c r="AE19" s="1">
        <f t="shared" ref="AE19:BR19" si="27">SUM(AE12,AE9)</f>
        <v>1</v>
      </c>
      <c r="AF19" s="1">
        <f t="shared" si="27"/>
        <v>1</v>
      </c>
      <c r="AG19" s="1">
        <f t="shared" si="27"/>
        <v>1</v>
      </c>
      <c r="AH19" s="1">
        <f t="shared" si="27"/>
        <v>1</v>
      </c>
      <c r="AI19" s="1">
        <f t="shared" si="27"/>
        <v>1</v>
      </c>
      <c r="AJ19" s="1">
        <f t="shared" si="27"/>
        <v>1</v>
      </c>
      <c r="AK19" s="1">
        <f t="shared" si="27"/>
        <v>0</v>
      </c>
      <c r="AL19" s="1">
        <f t="shared" si="27"/>
        <v>1</v>
      </c>
      <c r="AM19" s="1">
        <f t="shared" si="27"/>
        <v>1</v>
      </c>
      <c r="AN19" s="1">
        <f t="shared" si="27"/>
        <v>1</v>
      </c>
      <c r="AO19" s="1">
        <f t="shared" si="27"/>
        <v>1</v>
      </c>
      <c r="AP19" s="1">
        <f t="shared" si="27"/>
        <v>1</v>
      </c>
      <c r="AQ19" s="1">
        <f t="shared" si="27"/>
        <v>1</v>
      </c>
      <c r="AR19" s="1">
        <f t="shared" si="27"/>
        <v>1</v>
      </c>
      <c r="AS19" s="1">
        <f t="shared" si="27"/>
        <v>0</v>
      </c>
      <c r="AT19" s="1">
        <f t="shared" si="27"/>
        <v>1</v>
      </c>
      <c r="AU19" s="1">
        <f t="shared" si="27"/>
        <v>1</v>
      </c>
      <c r="AV19" s="1">
        <f t="shared" si="27"/>
        <v>1</v>
      </c>
      <c r="AW19" s="1">
        <f t="shared" si="27"/>
        <v>1</v>
      </c>
      <c r="AX19" s="1">
        <f t="shared" si="27"/>
        <v>1</v>
      </c>
      <c r="AY19" s="1">
        <f t="shared" si="27"/>
        <v>1</v>
      </c>
      <c r="AZ19" s="1">
        <f t="shared" si="27"/>
        <v>0</v>
      </c>
      <c r="BA19" s="1">
        <f t="shared" si="27"/>
        <v>1</v>
      </c>
      <c r="BB19" s="1">
        <f t="shared" si="27"/>
        <v>1</v>
      </c>
      <c r="BC19" s="1">
        <f t="shared" si="27"/>
        <v>1</v>
      </c>
      <c r="BD19" s="1">
        <f t="shared" si="27"/>
        <v>1</v>
      </c>
      <c r="BE19" s="1">
        <f t="shared" si="27"/>
        <v>1</v>
      </c>
      <c r="BF19" s="1">
        <f t="shared" si="27"/>
        <v>0</v>
      </c>
      <c r="BG19" s="1">
        <f t="shared" si="27"/>
        <v>1</v>
      </c>
      <c r="BH19" s="1">
        <f t="shared" si="27"/>
        <v>1</v>
      </c>
      <c r="BI19" s="1">
        <f t="shared" si="27"/>
        <v>1</v>
      </c>
      <c r="BJ19" s="1">
        <f t="shared" si="27"/>
        <v>0</v>
      </c>
      <c r="BK19" s="1">
        <f t="shared" si="27"/>
        <v>1</v>
      </c>
      <c r="BL19" s="1">
        <f t="shared" si="27"/>
        <v>1</v>
      </c>
      <c r="BM19" s="1">
        <f t="shared" si="27"/>
        <v>1</v>
      </c>
      <c r="BN19" s="1">
        <f t="shared" si="27"/>
        <v>0</v>
      </c>
      <c r="BO19" s="1">
        <f t="shared" si="27"/>
        <v>1</v>
      </c>
      <c r="BP19" s="1">
        <f t="shared" si="27"/>
        <v>1</v>
      </c>
      <c r="BQ19" s="1">
        <f t="shared" si="27"/>
        <v>0</v>
      </c>
      <c r="BR19" s="1">
        <f t="shared" si="27"/>
        <v>1</v>
      </c>
    </row>
    <row r="20" spans="1:70" x14ac:dyDescent="0.3">
      <c r="B20" s="15"/>
      <c r="AC20" t="s">
        <v>52</v>
      </c>
      <c r="AD20" s="1">
        <f>SUM(AD8,AD5)</f>
        <v>1</v>
      </c>
      <c r="AE20" s="1">
        <f t="shared" ref="AE20:BR20" si="28">SUM(AE8,AE5)</f>
        <v>1</v>
      </c>
      <c r="AF20" s="1">
        <f t="shared" si="28"/>
        <v>1</v>
      </c>
      <c r="AG20" s="1">
        <f t="shared" si="28"/>
        <v>1</v>
      </c>
      <c r="AH20" s="1">
        <f t="shared" si="28"/>
        <v>1</v>
      </c>
      <c r="AI20" s="1">
        <f t="shared" si="28"/>
        <v>1</v>
      </c>
      <c r="AJ20" s="1">
        <f t="shared" si="28"/>
        <v>1</v>
      </c>
      <c r="AK20" s="1">
        <f t="shared" si="28"/>
        <v>0</v>
      </c>
      <c r="AL20" s="1">
        <f t="shared" si="28"/>
        <v>1</v>
      </c>
      <c r="AM20" s="1">
        <f t="shared" si="28"/>
        <v>1</v>
      </c>
      <c r="AN20" s="1">
        <f t="shared" si="28"/>
        <v>1</v>
      </c>
      <c r="AO20" s="1">
        <f t="shared" si="28"/>
        <v>1</v>
      </c>
      <c r="AP20" s="1">
        <f t="shared" si="28"/>
        <v>1</v>
      </c>
      <c r="AQ20" s="1">
        <f t="shared" si="28"/>
        <v>1</v>
      </c>
      <c r="AR20" s="1">
        <f t="shared" si="28"/>
        <v>1</v>
      </c>
      <c r="AS20" s="1">
        <f t="shared" si="28"/>
        <v>0</v>
      </c>
      <c r="AT20" s="1">
        <f t="shared" si="28"/>
        <v>1</v>
      </c>
      <c r="AU20" s="1">
        <f t="shared" si="28"/>
        <v>1</v>
      </c>
      <c r="AV20" s="1">
        <f t="shared" si="28"/>
        <v>1</v>
      </c>
      <c r="AW20" s="1">
        <f t="shared" si="28"/>
        <v>1</v>
      </c>
      <c r="AX20" s="1">
        <f t="shared" si="28"/>
        <v>1</v>
      </c>
      <c r="AY20" s="1">
        <f t="shared" si="28"/>
        <v>1</v>
      </c>
      <c r="AZ20" s="1">
        <f t="shared" si="28"/>
        <v>0</v>
      </c>
      <c r="BA20" s="1">
        <f t="shared" si="28"/>
        <v>1</v>
      </c>
      <c r="BB20" s="1">
        <f t="shared" si="28"/>
        <v>1</v>
      </c>
      <c r="BC20" s="1">
        <f t="shared" si="28"/>
        <v>1</v>
      </c>
      <c r="BD20" s="1">
        <f t="shared" si="28"/>
        <v>1</v>
      </c>
      <c r="BE20" s="1">
        <f t="shared" si="28"/>
        <v>1</v>
      </c>
      <c r="BF20" s="1">
        <f t="shared" si="28"/>
        <v>0</v>
      </c>
      <c r="BG20" s="1">
        <f t="shared" si="28"/>
        <v>1</v>
      </c>
      <c r="BH20" s="1">
        <f t="shared" si="28"/>
        <v>1</v>
      </c>
      <c r="BI20" s="1">
        <f t="shared" si="28"/>
        <v>1</v>
      </c>
      <c r="BJ20" s="1">
        <f t="shared" si="28"/>
        <v>0</v>
      </c>
      <c r="BK20" s="1">
        <f t="shared" si="28"/>
        <v>1</v>
      </c>
      <c r="BL20" s="1">
        <f t="shared" si="28"/>
        <v>1</v>
      </c>
      <c r="BM20" s="1">
        <f t="shared" si="28"/>
        <v>1</v>
      </c>
      <c r="BN20" s="1">
        <f t="shared" si="28"/>
        <v>0</v>
      </c>
      <c r="BO20" s="1">
        <f t="shared" si="28"/>
        <v>1</v>
      </c>
      <c r="BP20" s="1">
        <f t="shared" si="28"/>
        <v>1</v>
      </c>
      <c r="BQ20" s="1">
        <f t="shared" si="28"/>
        <v>0</v>
      </c>
      <c r="BR20" s="1">
        <f t="shared" si="28"/>
        <v>1</v>
      </c>
    </row>
    <row r="21" spans="1:70" x14ac:dyDescent="0.3">
      <c r="B21" s="15"/>
      <c r="AC21" t="s">
        <v>59</v>
      </c>
      <c r="AD21" s="1">
        <f>SUM(AD13,AD10)</f>
        <v>1</v>
      </c>
      <c r="AE21" s="1">
        <f t="shared" ref="AE21:BR21" si="29">SUM(AE13,AE10)</f>
        <v>1</v>
      </c>
      <c r="AF21" s="1">
        <f t="shared" si="29"/>
        <v>1</v>
      </c>
      <c r="AG21" s="1">
        <f t="shared" si="29"/>
        <v>1</v>
      </c>
      <c r="AH21" s="1">
        <f t="shared" si="29"/>
        <v>1</v>
      </c>
      <c r="AI21" s="1">
        <f t="shared" si="29"/>
        <v>1</v>
      </c>
      <c r="AJ21" s="1">
        <f t="shared" si="29"/>
        <v>1</v>
      </c>
      <c r="AK21" s="1">
        <f t="shared" si="29"/>
        <v>0</v>
      </c>
      <c r="AL21" s="1">
        <f t="shared" si="29"/>
        <v>1</v>
      </c>
      <c r="AM21" s="1">
        <f t="shared" si="29"/>
        <v>1</v>
      </c>
      <c r="AN21" s="1">
        <f t="shared" si="29"/>
        <v>1</v>
      </c>
      <c r="AO21" s="1">
        <f t="shared" si="29"/>
        <v>1</v>
      </c>
      <c r="AP21" s="1">
        <f t="shared" si="29"/>
        <v>1</v>
      </c>
      <c r="AQ21" s="1">
        <f t="shared" si="29"/>
        <v>1</v>
      </c>
      <c r="AR21" s="1">
        <f t="shared" si="29"/>
        <v>1</v>
      </c>
      <c r="AS21" s="1">
        <f t="shared" si="29"/>
        <v>0</v>
      </c>
      <c r="AT21" s="1">
        <f t="shared" si="29"/>
        <v>1</v>
      </c>
      <c r="AU21" s="1">
        <f t="shared" si="29"/>
        <v>1</v>
      </c>
      <c r="AV21" s="1">
        <f t="shared" si="29"/>
        <v>1</v>
      </c>
      <c r="AW21" s="1">
        <f t="shared" si="29"/>
        <v>1</v>
      </c>
      <c r="AX21" s="1">
        <f t="shared" si="29"/>
        <v>1</v>
      </c>
      <c r="AY21" s="1">
        <f t="shared" si="29"/>
        <v>1</v>
      </c>
      <c r="AZ21" s="1">
        <f t="shared" si="29"/>
        <v>0</v>
      </c>
      <c r="BA21" s="1">
        <f t="shared" si="29"/>
        <v>1</v>
      </c>
      <c r="BB21" s="1">
        <f t="shared" si="29"/>
        <v>1</v>
      </c>
      <c r="BC21" s="1">
        <f t="shared" si="29"/>
        <v>1</v>
      </c>
      <c r="BD21" s="1">
        <f t="shared" si="29"/>
        <v>1</v>
      </c>
      <c r="BE21" s="1">
        <f t="shared" si="29"/>
        <v>1</v>
      </c>
      <c r="BF21" s="1">
        <f t="shared" si="29"/>
        <v>0</v>
      </c>
      <c r="BG21" s="1">
        <f t="shared" si="29"/>
        <v>1</v>
      </c>
      <c r="BH21" s="1">
        <f t="shared" si="29"/>
        <v>1</v>
      </c>
      <c r="BI21" s="1">
        <f t="shared" si="29"/>
        <v>1</v>
      </c>
      <c r="BJ21" s="1">
        <f t="shared" si="29"/>
        <v>0</v>
      </c>
      <c r="BK21" s="1">
        <f t="shared" si="29"/>
        <v>1</v>
      </c>
      <c r="BL21" s="1">
        <f t="shared" si="29"/>
        <v>1</v>
      </c>
      <c r="BM21" s="1">
        <f t="shared" si="29"/>
        <v>1</v>
      </c>
      <c r="BN21" s="1">
        <f t="shared" si="29"/>
        <v>0</v>
      </c>
      <c r="BO21" s="1">
        <f t="shared" si="29"/>
        <v>1</v>
      </c>
      <c r="BP21" s="1">
        <f t="shared" si="29"/>
        <v>1</v>
      </c>
      <c r="BQ21" s="1">
        <f t="shared" si="29"/>
        <v>0</v>
      </c>
      <c r="BR21" s="1">
        <f t="shared" si="29"/>
        <v>1</v>
      </c>
    </row>
    <row r="22" spans="1:70" x14ac:dyDescent="0.3">
      <c r="A22" t="s">
        <v>19</v>
      </c>
      <c r="B22" s="15"/>
      <c r="R22" t="s">
        <v>46</v>
      </c>
      <c r="AC22" t="s">
        <v>60</v>
      </c>
      <c r="AD22" s="1">
        <f>SUM(AD14,AD11)</f>
        <v>1</v>
      </c>
      <c r="AE22" s="1">
        <f t="shared" ref="AE22:BR22" si="30">SUM(AE14,AE11)</f>
        <v>1</v>
      </c>
      <c r="AF22" s="1">
        <f t="shared" si="30"/>
        <v>1</v>
      </c>
      <c r="AG22" s="1">
        <f t="shared" si="30"/>
        <v>1</v>
      </c>
      <c r="AH22" s="1">
        <f t="shared" si="30"/>
        <v>1</v>
      </c>
      <c r="AI22" s="1">
        <f t="shared" si="30"/>
        <v>1</v>
      </c>
      <c r="AJ22" s="1">
        <f t="shared" si="30"/>
        <v>1</v>
      </c>
      <c r="AK22" s="1">
        <f t="shared" si="30"/>
        <v>0</v>
      </c>
      <c r="AL22" s="1">
        <f t="shared" si="30"/>
        <v>1</v>
      </c>
      <c r="AM22" s="1">
        <f t="shared" si="30"/>
        <v>1</v>
      </c>
      <c r="AN22" s="1">
        <f t="shared" si="30"/>
        <v>1</v>
      </c>
      <c r="AO22" s="1">
        <f t="shared" si="30"/>
        <v>1</v>
      </c>
      <c r="AP22" s="1">
        <f t="shared" si="30"/>
        <v>1</v>
      </c>
      <c r="AQ22" s="1">
        <f t="shared" si="30"/>
        <v>1</v>
      </c>
      <c r="AR22" s="1">
        <f t="shared" si="30"/>
        <v>1</v>
      </c>
      <c r="AS22" s="1">
        <f t="shared" si="30"/>
        <v>0</v>
      </c>
      <c r="AT22" s="1">
        <f t="shared" si="30"/>
        <v>1</v>
      </c>
      <c r="AU22" s="1">
        <f t="shared" si="30"/>
        <v>1</v>
      </c>
      <c r="AV22" s="1">
        <f t="shared" si="30"/>
        <v>1</v>
      </c>
      <c r="AW22" s="1">
        <f t="shared" si="30"/>
        <v>1</v>
      </c>
      <c r="AX22" s="1">
        <f t="shared" si="30"/>
        <v>1</v>
      </c>
      <c r="AY22" s="1">
        <f t="shared" si="30"/>
        <v>1</v>
      </c>
      <c r="AZ22" s="1">
        <f t="shared" si="30"/>
        <v>0</v>
      </c>
      <c r="BA22" s="1">
        <f t="shared" si="30"/>
        <v>1</v>
      </c>
      <c r="BB22" s="1">
        <f t="shared" si="30"/>
        <v>1</v>
      </c>
      <c r="BC22" s="1">
        <f t="shared" si="30"/>
        <v>1</v>
      </c>
      <c r="BD22" s="1">
        <f t="shared" si="30"/>
        <v>1</v>
      </c>
      <c r="BE22" s="1">
        <f t="shared" si="30"/>
        <v>1</v>
      </c>
      <c r="BF22" s="1">
        <f t="shared" si="30"/>
        <v>0</v>
      </c>
      <c r="BG22" s="1">
        <f t="shared" si="30"/>
        <v>1</v>
      </c>
      <c r="BH22" s="1">
        <f t="shared" si="30"/>
        <v>1</v>
      </c>
      <c r="BI22" s="1">
        <f t="shared" si="30"/>
        <v>1</v>
      </c>
      <c r="BJ22" s="1">
        <f t="shared" si="30"/>
        <v>0</v>
      </c>
      <c r="BK22" s="1">
        <f t="shared" si="30"/>
        <v>1</v>
      </c>
      <c r="BL22" s="1">
        <f t="shared" si="30"/>
        <v>1</v>
      </c>
      <c r="BM22" s="1">
        <f t="shared" si="30"/>
        <v>1</v>
      </c>
      <c r="BN22" s="1">
        <f t="shared" si="30"/>
        <v>0</v>
      </c>
      <c r="BO22" s="1">
        <f t="shared" si="30"/>
        <v>1</v>
      </c>
      <c r="BP22" s="1">
        <f t="shared" si="30"/>
        <v>1</v>
      </c>
      <c r="BQ22" s="1">
        <f t="shared" si="30"/>
        <v>0</v>
      </c>
      <c r="BR22" s="1">
        <f t="shared" si="30"/>
        <v>1</v>
      </c>
    </row>
    <row r="23" spans="1:70" x14ac:dyDescent="0.3">
      <c r="A23" t="s">
        <v>20</v>
      </c>
      <c r="R23" s="1"/>
      <c r="S23" s="6" t="s">
        <v>1</v>
      </c>
      <c r="T23" s="6" t="s">
        <v>2</v>
      </c>
      <c r="U23" s="6" t="s">
        <v>4</v>
      </c>
      <c r="V23" s="6" t="s">
        <v>6</v>
      </c>
      <c r="W23" s="6" t="s">
        <v>8</v>
      </c>
      <c r="X23" s="6" t="s">
        <v>9</v>
      </c>
      <c r="Y23" s="6" t="s">
        <v>11</v>
      </c>
      <c r="Z23" s="6" t="s">
        <v>13</v>
      </c>
      <c r="AA23" s="6" t="s">
        <v>15</v>
      </c>
      <c r="AD23" s="1"/>
      <c r="AE23" s="1"/>
      <c r="AF23" s="1"/>
      <c r="AG23" s="1"/>
      <c r="AH23" s="1"/>
      <c r="AI23" s="1"/>
      <c r="AJ23" s="1"/>
      <c r="AL23" s="1"/>
      <c r="AM23" s="1"/>
      <c r="AN23" s="1"/>
      <c r="AO23" s="1"/>
      <c r="AP23" s="1"/>
      <c r="AQ23" s="1"/>
      <c r="AR23" s="1"/>
      <c r="AT23" s="1"/>
      <c r="AU23" s="1"/>
      <c r="AV23" s="1"/>
      <c r="AW23" s="1"/>
      <c r="AX23" s="1"/>
      <c r="AY23" s="1"/>
      <c r="BA23" s="1"/>
      <c r="BB23" s="1"/>
      <c r="BC23" s="1"/>
      <c r="BD23" s="1"/>
      <c r="BE23" s="1"/>
      <c r="BG23" s="1"/>
      <c r="BH23" s="1"/>
      <c r="BI23" s="1"/>
      <c r="BK23" s="1"/>
      <c r="BL23" s="1"/>
      <c r="BM23" s="1"/>
      <c r="BO23" s="1"/>
      <c r="BP23" s="1"/>
      <c r="BR23" s="1"/>
    </row>
    <row r="24" spans="1:70" x14ac:dyDescent="0.3">
      <c r="A24" t="s">
        <v>23</v>
      </c>
      <c r="R24" s="6" t="s">
        <v>1</v>
      </c>
      <c r="S24" s="1"/>
      <c r="T24" s="1"/>
      <c r="U24" s="1">
        <f>$R$17-T2-$AA$17*(1-AD3)</f>
        <v>6.2172489379008766E-15</v>
      </c>
      <c r="V24" s="1">
        <f t="shared" ref="V24:Z24" si="31">$R$17-U2-$AA$17*(1-AE3)</f>
        <v>-0.90499999999999847</v>
      </c>
      <c r="W24" s="1">
        <f t="shared" si="31"/>
        <v>-3.0249999999999995</v>
      </c>
      <c r="X24" s="1">
        <f t="shared" si="31"/>
        <v>-6.7150000000000007</v>
      </c>
      <c r="Y24" s="1">
        <f t="shared" si="31"/>
        <v>-10.135000000000016</v>
      </c>
      <c r="Z24" s="1">
        <f t="shared" si="31"/>
        <v>-11.025000000000016</v>
      </c>
      <c r="AA24" s="1">
        <f>$R$17-Z2-$AA$17*(1-AJ3)</f>
        <v>-13.675000000000015</v>
      </c>
      <c r="AD24" s="1"/>
      <c r="AE24" s="1"/>
      <c r="AF24" s="1"/>
      <c r="AG24" s="1"/>
      <c r="AH24" s="1"/>
      <c r="AI24" s="1"/>
      <c r="AJ24" s="1"/>
      <c r="AL24" s="1"/>
      <c r="AM24" s="1"/>
      <c r="AN24" s="1"/>
      <c r="AO24" s="1"/>
      <c r="AP24" s="1"/>
      <c r="AQ24" s="1"/>
      <c r="AR24" s="1"/>
      <c r="AT24" s="1"/>
      <c r="AU24" s="1"/>
      <c r="AV24" s="1"/>
      <c r="AW24" s="1"/>
      <c r="AX24" s="1"/>
      <c r="AY24" s="1"/>
      <c r="BA24" s="1"/>
      <c r="BB24" s="1"/>
      <c r="BC24" s="1"/>
      <c r="BD24" s="1"/>
      <c r="BE24" s="1"/>
      <c r="BG24" s="1"/>
      <c r="BH24" s="1"/>
      <c r="BI24" s="1"/>
      <c r="BK24" s="1"/>
      <c r="BL24" s="1"/>
      <c r="BM24" s="1"/>
      <c r="BO24" s="1"/>
      <c r="BP24" s="1"/>
      <c r="BR24" s="1"/>
    </row>
    <row r="25" spans="1:70" x14ac:dyDescent="0.3">
      <c r="A25" t="s">
        <v>24</v>
      </c>
      <c r="R25" s="6" t="s">
        <v>2</v>
      </c>
      <c r="S25" s="1"/>
      <c r="T25" s="1"/>
      <c r="U25" s="1">
        <f>$S$17-T2-$AA$17*(1-AL3)</f>
        <v>-61.480000000000004</v>
      </c>
      <c r="V25" s="1">
        <f t="shared" ref="V25:Z25" si="32">$S$17-U2-$AA$17*(1-AM3)</f>
        <v>-0.78500000000000014</v>
      </c>
      <c r="W25" s="1">
        <f t="shared" si="32"/>
        <v>-2.9050000000000011</v>
      </c>
      <c r="X25" s="1">
        <f t="shared" si="32"/>
        <v>-6.5950000000000024</v>
      </c>
      <c r="Y25" s="1">
        <f t="shared" si="32"/>
        <v>-10.015000000000018</v>
      </c>
      <c r="Z25" s="1">
        <f t="shared" si="32"/>
        <v>-10.905000000000019</v>
      </c>
      <c r="AA25" s="1">
        <f>$S$17-Z2-$AA$17*(1-AR3)</f>
        <v>-13.555000000000017</v>
      </c>
      <c r="AD25" s="1"/>
      <c r="AE25" s="1"/>
      <c r="AF25" s="1"/>
      <c r="AG25" s="1"/>
      <c r="AH25" s="1"/>
      <c r="AI25" s="1"/>
      <c r="AJ25" s="1"/>
      <c r="AL25" s="1"/>
      <c r="AM25" s="1"/>
      <c r="AN25" s="1"/>
      <c r="AO25" s="1"/>
      <c r="AP25" s="1"/>
      <c r="AQ25" s="1"/>
      <c r="AR25" s="1"/>
      <c r="AT25" s="1"/>
      <c r="AU25" s="1"/>
      <c r="AV25" s="1"/>
      <c r="AW25" s="1"/>
      <c r="AX25" s="1"/>
      <c r="AY25" s="1"/>
      <c r="BA25" s="1"/>
      <c r="BB25" s="1"/>
      <c r="BC25" s="1"/>
      <c r="BD25" s="1"/>
      <c r="BE25" s="1"/>
      <c r="BG25" s="1"/>
      <c r="BH25" s="1"/>
      <c r="BI25" s="1"/>
      <c r="BK25" s="1"/>
      <c r="BL25" s="1"/>
      <c r="BM25" s="1"/>
      <c r="BO25" s="1"/>
      <c r="BP25" s="1"/>
      <c r="BR25" s="1"/>
    </row>
    <row r="26" spans="1:70" x14ac:dyDescent="0.3">
      <c r="R26" s="6" t="s">
        <v>4</v>
      </c>
      <c r="S26" s="1"/>
      <c r="T26" s="1"/>
      <c r="U26" s="1"/>
      <c r="V26" s="1">
        <f>$T$17-U2-$AA$17*(1-AT3)</f>
        <v>-60.925000000000011</v>
      </c>
      <c r="W26" s="1">
        <f t="shared" ref="W26:Z26" si="33">$T$17-V2-$AA$17*(1-AU3)</f>
        <v>-1.4450000000000012</v>
      </c>
      <c r="X26" s="1">
        <f t="shared" si="33"/>
        <v>-5.1350000000000025</v>
      </c>
      <c r="Y26" s="1">
        <f t="shared" si="33"/>
        <v>-8.5550000000000175</v>
      </c>
      <c r="Z26" s="1">
        <f t="shared" si="33"/>
        <v>-9.445000000000018</v>
      </c>
      <c r="AA26" s="1">
        <f>$T$17-Z2-$AA$17*(1-AY3)</f>
        <v>-12.095000000000017</v>
      </c>
      <c r="AD26" s="1"/>
      <c r="AE26" s="1"/>
      <c r="AF26" s="1"/>
      <c r="AG26" s="1"/>
      <c r="AH26" s="1"/>
      <c r="AI26" s="1"/>
      <c r="AJ26" s="1"/>
      <c r="AL26" s="1"/>
      <c r="AM26" s="1"/>
      <c r="AN26" s="1"/>
      <c r="AO26" s="1"/>
      <c r="AP26" s="1"/>
      <c r="AQ26" s="1"/>
      <c r="AR26" s="1"/>
      <c r="AT26" s="1"/>
      <c r="AU26" s="1"/>
      <c r="AV26" s="1"/>
      <c r="AW26" s="1"/>
      <c r="AX26" s="1"/>
      <c r="AY26" s="1"/>
      <c r="BA26" s="1"/>
      <c r="BB26" s="1"/>
      <c r="BC26" s="1"/>
      <c r="BD26" s="1"/>
      <c r="BE26" s="1"/>
      <c r="BG26" s="1"/>
      <c r="BH26" s="1"/>
      <c r="BI26" s="1"/>
      <c r="BK26" s="1"/>
      <c r="BL26" s="1"/>
      <c r="BM26" s="1"/>
      <c r="BO26" s="1"/>
      <c r="BP26" s="1"/>
      <c r="BR26" s="1"/>
    </row>
    <row r="27" spans="1:70" x14ac:dyDescent="0.3">
      <c r="R27" s="6" t="s">
        <v>6</v>
      </c>
      <c r="S27" s="1"/>
      <c r="T27" s="1"/>
      <c r="U27" s="1"/>
      <c r="V27" s="1"/>
      <c r="W27" s="1">
        <f>$U$17-V2-$AA$17*(1-BA3)</f>
        <v>-60.260000000000012</v>
      </c>
      <c r="X27" s="1">
        <f t="shared" ref="X27:Z27" si="34">$U$17-W2-$AA$17*(1-BB3)</f>
        <v>-2.3500000000000068</v>
      </c>
      <c r="Y27" s="1">
        <f t="shared" si="34"/>
        <v>-5.7700000000000227</v>
      </c>
      <c r="Z27" s="1">
        <f t="shared" si="34"/>
        <v>-6.6600000000000232</v>
      </c>
      <c r="AA27" s="1">
        <f>$U$17-Z2-$AA$17*(1-BE3)</f>
        <v>-9.3100000000000218</v>
      </c>
      <c r="AD27" s="1"/>
      <c r="AE27" s="1"/>
      <c r="AF27" s="1"/>
      <c r="AG27" s="1"/>
      <c r="AH27" s="1"/>
      <c r="AI27" s="1"/>
      <c r="AJ27" s="1"/>
      <c r="AL27" s="1"/>
      <c r="AM27" s="1"/>
      <c r="AN27" s="1"/>
      <c r="AO27" s="1"/>
      <c r="AP27" s="1"/>
      <c r="AQ27" s="1"/>
      <c r="AR27" s="1"/>
      <c r="AT27" s="1"/>
      <c r="AU27" s="1"/>
      <c r="AV27" s="1"/>
      <c r="AW27" s="1"/>
      <c r="AX27" s="1"/>
      <c r="AY27" s="1"/>
      <c r="BA27" s="1"/>
      <c r="BB27" s="1"/>
      <c r="BC27" s="1"/>
      <c r="BD27" s="1"/>
      <c r="BE27" s="1"/>
      <c r="BG27" s="1"/>
      <c r="BH27" s="1"/>
      <c r="BI27" s="1"/>
      <c r="BK27" s="1"/>
      <c r="BL27" s="1"/>
      <c r="BM27" s="1"/>
      <c r="BO27" s="1"/>
      <c r="BP27" s="1"/>
      <c r="BR27" s="1"/>
    </row>
    <row r="28" spans="1:70" x14ac:dyDescent="0.3">
      <c r="A28" t="s">
        <v>21</v>
      </c>
      <c r="R28" s="6" t="s">
        <v>8</v>
      </c>
      <c r="S28" s="1"/>
      <c r="T28" s="1"/>
      <c r="U28" s="1"/>
      <c r="V28" s="1"/>
      <c r="W28" s="1"/>
      <c r="X28" s="1"/>
      <c r="Y28" s="1">
        <f>$V$17-X2-$AA$17*(1-BG3)</f>
        <v>-2.3200000000000038</v>
      </c>
      <c r="Z28" s="1">
        <f t="shared" ref="Z28:AA28" si="35">$V$17-Y2-$AA$17*(1-BH3)</f>
        <v>-3.2100000000000044</v>
      </c>
      <c r="AA28" s="1">
        <f t="shared" si="35"/>
        <v>-5.860000000000003</v>
      </c>
      <c r="AD28" s="1"/>
      <c r="AE28" s="1"/>
      <c r="AF28" s="1"/>
      <c r="AG28" s="1"/>
      <c r="AH28" s="1"/>
      <c r="AI28" s="1"/>
      <c r="AJ28" s="1"/>
      <c r="AL28" s="1"/>
      <c r="AM28" s="1"/>
      <c r="AN28" s="1"/>
      <c r="AO28" s="1"/>
      <c r="AP28" s="1"/>
      <c r="AQ28" s="1"/>
      <c r="AR28" s="1"/>
      <c r="AT28" s="1"/>
      <c r="AU28" s="1"/>
      <c r="AV28" s="1"/>
      <c r="AW28" s="1"/>
      <c r="AX28" s="1"/>
      <c r="AY28" s="1"/>
      <c r="BA28" s="1"/>
      <c r="BB28" s="1"/>
      <c r="BC28" s="1"/>
      <c r="BD28" s="1"/>
      <c r="BE28" s="1"/>
      <c r="BG28" s="1"/>
      <c r="BH28" s="1"/>
      <c r="BI28" s="1"/>
      <c r="BK28" s="1"/>
      <c r="BL28" s="1"/>
      <c r="BM28" s="1"/>
      <c r="BO28" s="1"/>
      <c r="BP28" s="1"/>
      <c r="BR28" s="1"/>
    </row>
    <row r="29" spans="1:70" x14ac:dyDescent="0.3">
      <c r="B29" s="3" t="s">
        <v>1</v>
      </c>
      <c r="C29" s="3" t="s">
        <v>2</v>
      </c>
      <c r="D29" t="s">
        <v>3</v>
      </c>
      <c r="E29" s="3" t="s">
        <v>4</v>
      </c>
      <c r="F29" t="s">
        <v>5</v>
      </c>
      <c r="G29" s="3" t="s">
        <v>6</v>
      </c>
      <c r="H29" t="s">
        <v>7</v>
      </c>
      <c r="I29" s="3" t="s">
        <v>8</v>
      </c>
      <c r="J29" s="3" t="s">
        <v>9</v>
      </c>
      <c r="K29" t="s">
        <v>10</v>
      </c>
      <c r="L29" s="3" t="s">
        <v>11</v>
      </c>
      <c r="M29" t="s">
        <v>12</v>
      </c>
      <c r="N29" s="3" t="s">
        <v>13</v>
      </c>
      <c r="O29" t="s">
        <v>14</v>
      </c>
      <c r="P29" s="3" t="s">
        <v>15</v>
      </c>
      <c r="R29" s="6" t="s">
        <v>9</v>
      </c>
      <c r="S29" s="1"/>
      <c r="T29" s="1"/>
      <c r="U29" s="1"/>
      <c r="V29" s="1"/>
      <c r="W29" s="1"/>
      <c r="X29" s="1"/>
      <c r="Y29" s="1">
        <f>$W$17-X2-$AA$17*(1-BK3)</f>
        <v>-0.12000000000000455</v>
      </c>
      <c r="Z29" s="1">
        <f t="shared" ref="Z29:AA29" si="36">$W$17-Y2-$AA$17*(1-BL3)</f>
        <v>-1.0100000000000051</v>
      </c>
      <c r="AA29" s="1">
        <f t="shared" si="36"/>
        <v>-3.6600000000000037</v>
      </c>
      <c r="AD29" s="1"/>
      <c r="AE29" s="1"/>
      <c r="AF29" s="1"/>
      <c r="AG29" s="1"/>
      <c r="AH29" s="1"/>
      <c r="AI29" s="1"/>
      <c r="AJ29" s="1"/>
      <c r="AL29" s="1"/>
      <c r="AM29" s="1"/>
      <c r="AN29" s="1"/>
      <c r="AO29" s="1"/>
      <c r="AP29" s="1"/>
      <c r="AQ29" s="1"/>
      <c r="AR29" s="1"/>
      <c r="AT29" s="1"/>
      <c r="AU29" s="1"/>
      <c r="AV29" s="1"/>
      <c r="AW29" s="1"/>
      <c r="AX29" s="1"/>
      <c r="AY29" s="1"/>
      <c r="BA29" s="1"/>
      <c r="BB29" s="1"/>
      <c r="BC29" s="1"/>
      <c r="BD29" s="1"/>
      <c r="BE29" s="1"/>
      <c r="BG29" s="1"/>
      <c r="BH29" s="1"/>
      <c r="BI29" s="1"/>
      <c r="BK29" s="1"/>
      <c r="BL29" s="1"/>
      <c r="BM29" s="1"/>
      <c r="BO29" s="1"/>
      <c r="BP29" s="1"/>
      <c r="BR29" s="1"/>
    </row>
    <row r="30" spans="1:70" x14ac:dyDescent="0.3">
      <c r="A30" s="1" t="s">
        <v>16</v>
      </c>
      <c r="B30" s="1">
        <f>B2+B16</f>
        <v>0</v>
      </c>
      <c r="C30" s="1">
        <f t="shared" ref="C30:O33" si="37">C2+C16</f>
        <v>2.23</v>
      </c>
      <c r="D30" s="1">
        <f t="shared" si="37"/>
        <v>3.5700000000000003</v>
      </c>
      <c r="E30" s="1">
        <f t="shared" si="37"/>
        <v>4.5799999999999939</v>
      </c>
      <c r="F30" s="1">
        <f t="shared" si="37"/>
        <v>5.3499999999999943</v>
      </c>
      <c r="G30" s="1">
        <f t="shared" si="37"/>
        <v>5.4849999999999985</v>
      </c>
      <c r="H30" s="1">
        <f t="shared" si="37"/>
        <v>7.4849999999999985</v>
      </c>
      <c r="I30" s="1">
        <f t="shared" si="37"/>
        <v>8.7049999999999912</v>
      </c>
      <c r="J30" s="1">
        <f t="shared" si="37"/>
        <v>12.155000000000008</v>
      </c>
      <c r="K30" s="1">
        <f t="shared" si="37"/>
        <v>13.495000000000008</v>
      </c>
      <c r="L30" s="1">
        <f t="shared" si="37"/>
        <v>14.715000000000016</v>
      </c>
      <c r="M30" s="1">
        <f t="shared" si="37"/>
        <v>15.485000000000015</v>
      </c>
      <c r="N30" s="1">
        <f t="shared" si="37"/>
        <v>15.605000000000016</v>
      </c>
      <c r="O30" s="1">
        <f t="shared" si="37"/>
        <v>17.605000000000018</v>
      </c>
      <c r="P30" s="11">
        <f>P2+P16</f>
        <v>20.385000000000016</v>
      </c>
      <c r="R30" s="6" t="s">
        <v>11</v>
      </c>
      <c r="S30" s="1"/>
      <c r="T30" s="1"/>
      <c r="U30" s="1"/>
      <c r="V30" s="1"/>
      <c r="W30" s="1"/>
      <c r="X30" s="1"/>
      <c r="Y30" s="1"/>
      <c r="Z30" s="1">
        <f>$X$17-Y2-$AA$17*(1-BO3)</f>
        <v>-61.150000000000013</v>
      </c>
      <c r="AA30" s="1">
        <f>$X$17-Z2-$AA$17*(1-BP3)</f>
        <v>-2.2000000000000046</v>
      </c>
      <c r="AD30" s="1"/>
      <c r="AE30" s="1"/>
      <c r="AF30" s="1"/>
      <c r="AG30" s="1"/>
      <c r="AH30" s="1"/>
      <c r="AI30" s="1"/>
      <c r="AJ30" s="1"/>
      <c r="AL30" s="1"/>
      <c r="AM30" s="1"/>
      <c r="AN30" s="1"/>
      <c r="AO30" s="1"/>
      <c r="AP30" s="1"/>
      <c r="AQ30" s="1"/>
      <c r="AR30" s="1"/>
      <c r="AT30" s="1"/>
      <c r="AU30" s="1"/>
      <c r="AV30" s="1"/>
      <c r="AW30" s="1"/>
      <c r="AX30" s="1"/>
      <c r="AY30" s="1"/>
      <c r="BA30" s="1"/>
      <c r="BB30" s="1"/>
      <c r="BC30" s="1"/>
      <c r="BD30" s="1"/>
      <c r="BE30" s="1"/>
      <c r="BG30" s="1"/>
      <c r="BH30" s="1"/>
      <c r="BI30" s="1"/>
      <c r="BK30" s="1"/>
      <c r="BL30" s="1"/>
      <c r="BM30" s="1"/>
      <c r="BO30" s="1"/>
      <c r="BP30" s="1"/>
      <c r="BR30" s="1"/>
    </row>
    <row r="31" spans="1:70" x14ac:dyDescent="0.3">
      <c r="A31" s="1" t="s">
        <v>18</v>
      </c>
      <c r="B31" s="1">
        <f>B3+B17</f>
        <v>4.46</v>
      </c>
      <c r="C31" s="1">
        <f t="shared" si="37"/>
        <v>4.5799999999999983</v>
      </c>
      <c r="D31" s="1">
        <f t="shared" si="37"/>
        <v>5.9199999999999982</v>
      </c>
      <c r="E31" s="1">
        <f t="shared" si="37"/>
        <v>6.0399999999999983</v>
      </c>
      <c r="F31" s="1">
        <f t="shared" si="37"/>
        <v>6.8099999999999987</v>
      </c>
      <c r="G31" s="1">
        <f t="shared" si="37"/>
        <v>8.824999999999994</v>
      </c>
      <c r="H31" s="1">
        <f t="shared" si="37"/>
        <v>10.824999999999994</v>
      </c>
      <c r="I31" s="1">
        <f t="shared" si="37"/>
        <v>12.275000000000013</v>
      </c>
      <c r="J31" s="1">
        <f t="shared" si="37"/>
        <v>14.475000000000012</v>
      </c>
      <c r="K31" s="1">
        <f t="shared" si="37"/>
        <v>15.815000000000012</v>
      </c>
      <c r="L31" s="1">
        <f t="shared" si="37"/>
        <v>15.935000000000011</v>
      </c>
      <c r="M31" s="1">
        <f t="shared" si="37"/>
        <v>16.705000000000013</v>
      </c>
      <c r="N31" s="13">
        <f t="shared" si="37"/>
        <v>20.505000000000017</v>
      </c>
      <c r="O31" s="1">
        <f t="shared" si="37"/>
        <v>22.505000000000017</v>
      </c>
      <c r="P31" s="11">
        <f>P3+P17</f>
        <v>25.195000000000032</v>
      </c>
      <c r="R31" s="6" t="s">
        <v>13</v>
      </c>
      <c r="S31" s="1"/>
      <c r="T31" s="1"/>
      <c r="U31" s="1"/>
      <c r="V31" s="1"/>
      <c r="W31" s="1"/>
      <c r="X31" s="1"/>
      <c r="Y31" s="1"/>
      <c r="Z31" s="1"/>
      <c r="AA31" s="1">
        <f>$Y$17-Z2-$AA$17*(1-BR3)</f>
        <v>-59.230000000000004</v>
      </c>
      <c r="AD31" s="1"/>
      <c r="AE31" s="1"/>
      <c r="AF31" s="1"/>
      <c r="AG31" s="1"/>
      <c r="AH31" s="1"/>
      <c r="AI31" s="1"/>
      <c r="AJ31" s="1"/>
      <c r="AL31" s="1"/>
      <c r="AM31" s="1"/>
      <c r="AN31" s="1"/>
      <c r="AO31" s="1"/>
      <c r="AP31" s="1"/>
      <c r="AQ31" s="1"/>
      <c r="AR31" s="1"/>
      <c r="AT31" s="1"/>
      <c r="AU31" s="1"/>
      <c r="AV31" s="1"/>
      <c r="AW31" s="1"/>
      <c r="AX31" s="1"/>
      <c r="AY31" s="1"/>
      <c r="BA31" s="1"/>
      <c r="BB31" s="1"/>
      <c r="BC31" s="1"/>
      <c r="BD31" s="1"/>
      <c r="BE31" s="1"/>
      <c r="BG31" s="1"/>
      <c r="BH31" s="1"/>
      <c r="BI31" s="1"/>
      <c r="BK31" s="1"/>
      <c r="BL31" s="1"/>
      <c r="BM31" s="1"/>
      <c r="BO31" s="1"/>
      <c r="BP31" s="1"/>
      <c r="BR31" s="1"/>
    </row>
    <row r="32" spans="1:70" x14ac:dyDescent="0.3">
      <c r="A32" s="1" t="s">
        <v>28</v>
      </c>
      <c r="B32" s="1">
        <f>B4+B18</f>
        <v>5.365000000000002</v>
      </c>
      <c r="C32" s="1">
        <f t="shared" si="37"/>
        <v>7.4849999999999994</v>
      </c>
      <c r="D32" s="1">
        <f t="shared" si="37"/>
        <v>8.8249999999999993</v>
      </c>
      <c r="E32" s="1">
        <f t="shared" si="37"/>
        <v>8.9449999999999985</v>
      </c>
      <c r="F32" s="1">
        <f t="shared" si="37"/>
        <v>9.7149999999999981</v>
      </c>
      <c r="G32" s="1">
        <f t="shared" si="37"/>
        <v>12.275000000000007</v>
      </c>
      <c r="H32" s="1">
        <f t="shared" si="37"/>
        <v>14.275000000000007</v>
      </c>
      <c r="I32" s="1">
        <f t="shared" si="37"/>
        <v>15.935000000000016</v>
      </c>
      <c r="J32" s="1">
        <f t="shared" si="37"/>
        <v>18.135000000000016</v>
      </c>
      <c r="K32" s="1">
        <f t="shared" si="37"/>
        <v>19.475000000000016</v>
      </c>
      <c r="L32" s="1">
        <f t="shared" si="37"/>
        <v>20.625000000000021</v>
      </c>
      <c r="M32" s="1">
        <f t="shared" si="37"/>
        <v>21.395000000000021</v>
      </c>
      <c r="N32" s="1">
        <f t="shared" si="37"/>
        <v>22.945000000000029</v>
      </c>
      <c r="O32" s="1">
        <f t="shared" si="37"/>
        <v>24.945000000000029</v>
      </c>
      <c r="P32" s="1">
        <f>P4+P18</f>
        <v>28.455000000000037</v>
      </c>
      <c r="R32" s="6" t="s">
        <v>15</v>
      </c>
      <c r="S32" s="1"/>
      <c r="T32" s="1"/>
      <c r="U32" s="1"/>
      <c r="V32" s="1"/>
      <c r="W32" s="1"/>
      <c r="X32" s="1"/>
      <c r="Y32" s="1"/>
      <c r="Z32" s="1"/>
      <c r="AA32" s="1"/>
      <c r="AD32" s="1"/>
      <c r="AE32" s="1"/>
      <c r="AF32" s="1"/>
      <c r="AG32" s="1"/>
      <c r="AH32" s="1"/>
      <c r="AI32" s="1"/>
      <c r="AJ32" s="1"/>
      <c r="AL32" s="1"/>
      <c r="AM32" s="1"/>
      <c r="AN32" s="1"/>
      <c r="AO32" s="1"/>
      <c r="AP32" s="1"/>
      <c r="AQ32" s="1"/>
      <c r="AR32" s="1"/>
      <c r="AT32" s="1"/>
      <c r="AU32" s="1"/>
      <c r="AV32" s="1"/>
      <c r="AW32" s="1"/>
      <c r="AX32" s="1"/>
      <c r="AY32" s="1"/>
      <c r="BA32" s="1"/>
      <c r="BB32" s="1"/>
      <c r="BC32" s="1"/>
      <c r="BD32" s="1"/>
      <c r="BE32" s="1"/>
      <c r="BG32" s="1"/>
      <c r="BH32" s="1"/>
      <c r="BI32" s="1"/>
      <c r="BK32" s="1"/>
      <c r="BL32" s="1"/>
      <c r="BM32" s="1"/>
      <c r="BO32" s="1"/>
      <c r="BP32" s="1"/>
      <c r="BR32" s="1"/>
    </row>
    <row r="33" spans="1:70" x14ac:dyDescent="0.3">
      <c r="A33" s="1" t="s">
        <v>30</v>
      </c>
      <c r="B33" s="1">
        <f>B5+B19</f>
        <v>8.9450000000000038</v>
      </c>
      <c r="C33" s="1">
        <f t="shared" si="37"/>
        <v>11.175000000000004</v>
      </c>
      <c r="D33" s="1">
        <f t="shared" si="37"/>
        <v>12.515000000000004</v>
      </c>
      <c r="E33" s="1">
        <f t="shared" si="37"/>
        <v>14.595000000000011</v>
      </c>
      <c r="F33" s="1">
        <f t="shared" si="37"/>
        <v>15.365000000000011</v>
      </c>
      <c r="G33" s="1">
        <f t="shared" si="37"/>
        <v>15.725000000000021</v>
      </c>
      <c r="H33" s="1">
        <f t="shared" si="37"/>
        <v>17.725000000000023</v>
      </c>
      <c r="I33" s="1">
        <f t="shared" si="37"/>
        <v>20.625000000000025</v>
      </c>
      <c r="J33" s="1">
        <f t="shared" si="37"/>
        <v>22.825000000000024</v>
      </c>
      <c r="K33" s="1">
        <f t="shared" si="37"/>
        <v>24.165000000000024</v>
      </c>
      <c r="L33" s="1">
        <f t="shared" si="37"/>
        <v>25.315000000000033</v>
      </c>
      <c r="M33" s="1">
        <f t="shared" si="37"/>
        <v>26.085000000000033</v>
      </c>
      <c r="N33" s="1">
        <f t="shared" si="37"/>
        <v>26.205000000000034</v>
      </c>
      <c r="O33" s="1">
        <f t="shared" si="37"/>
        <v>28.205000000000034</v>
      </c>
      <c r="P33" s="1">
        <f>P5+P19</f>
        <v>30.705000000000037</v>
      </c>
      <c r="AD33" s="1"/>
      <c r="AE33" s="1"/>
      <c r="AF33" s="1"/>
      <c r="AG33" s="1"/>
      <c r="AH33" s="1"/>
      <c r="AI33" s="1"/>
      <c r="AJ33" s="1"/>
      <c r="AL33" s="1"/>
      <c r="AM33" s="1"/>
      <c r="AN33" s="1"/>
      <c r="AO33" s="1"/>
      <c r="AP33" s="1"/>
      <c r="AQ33" s="1"/>
      <c r="AR33" s="1"/>
      <c r="AT33" s="1"/>
      <c r="AU33" s="1"/>
      <c r="AV33" s="1"/>
      <c r="AW33" s="1"/>
      <c r="AX33" s="1"/>
      <c r="AY33" s="1"/>
      <c r="BA33" s="1"/>
      <c r="BB33" s="1"/>
      <c r="BC33" s="1"/>
      <c r="BD33" s="1"/>
      <c r="BE33" s="1"/>
      <c r="BG33" s="1"/>
      <c r="BH33" s="1"/>
      <c r="BI33" s="1"/>
      <c r="BK33" s="1"/>
      <c r="BL33" s="1"/>
      <c r="BM33" s="1"/>
      <c r="BO33" s="1"/>
      <c r="BP33" s="1"/>
      <c r="BR33" s="1"/>
    </row>
    <row r="34" spans="1:70" x14ac:dyDescent="0.3">
      <c r="R34" t="s">
        <v>37</v>
      </c>
      <c r="AD34" s="1"/>
      <c r="AE34" s="1"/>
      <c r="AF34" s="1"/>
      <c r="AG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T34" s="1"/>
      <c r="AU34" s="1"/>
      <c r="AV34" s="1"/>
      <c r="AW34" s="1"/>
      <c r="AX34" s="1"/>
      <c r="AY34" s="1"/>
      <c r="BA34" s="1"/>
      <c r="BB34" s="1"/>
      <c r="BC34" s="1"/>
      <c r="BD34" s="1"/>
      <c r="BE34" s="1"/>
      <c r="BG34" s="1"/>
      <c r="BH34" s="1"/>
      <c r="BI34" s="1"/>
      <c r="BK34" s="1"/>
      <c r="BL34" s="1"/>
      <c r="BM34" s="1"/>
      <c r="BO34" s="1"/>
      <c r="BP34" s="1"/>
      <c r="BR34" s="1"/>
    </row>
    <row r="35" spans="1:70" x14ac:dyDescent="0.3">
      <c r="R35" s="1"/>
      <c r="S35" s="6" t="s">
        <v>1</v>
      </c>
      <c r="T35" s="6" t="s">
        <v>2</v>
      </c>
      <c r="U35" s="6" t="s">
        <v>4</v>
      </c>
      <c r="V35" s="6" t="s">
        <v>6</v>
      </c>
      <c r="W35" s="6" t="s">
        <v>8</v>
      </c>
      <c r="X35" s="6" t="s">
        <v>9</v>
      </c>
      <c r="Y35" s="6" t="s">
        <v>11</v>
      </c>
      <c r="Z35" s="6" t="s">
        <v>13</v>
      </c>
      <c r="AA35" s="6" t="s">
        <v>15</v>
      </c>
      <c r="AD35" s="1"/>
      <c r="AE35" s="1"/>
      <c r="AF35" s="1"/>
      <c r="AG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T35" s="1"/>
      <c r="AU35" s="1"/>
      <c r="AV35" s="1"/>
      <c r="AW35" s="1"/>
      <c r="AX35" s="1"/>
      <c r="AY35" s="1"/>
      <c r="BA35" s="1"/>
      <c r="BB35" s="1"/>
      <c r="BC35" s="1"/>
      <c r="BD35" s="1"/>
      <c r="BE35" s="1"/>
      <c r="BG35" s="1"/>
      <c r="BH35" s="1"/>
      <c r="BI35" s="1"/>
      <c r="BK35" s="1"/>
      <c r="BL35" s="1"/>
      <c r="BM35" s="1"/>
      <c r="BO35" s="1"/>
      <c r="BP35" s="1"/>
      <c r="BR35" s="1"/>
    </row>
    <row r="36" spans="1:70" x14ac:dyDescent="0.3">
      <c r="A36">
        <f>P33</f>
        <v>30.705000000000037</v>
      </c>
      <c r="R36" s="6" t="s">
        <v>1</v>
      </c>
      <c r="S36" s="1"/>
      <c r="T36" s="1"/>
      <c r="U36" s="1">
        <f>$R$18-T2-$AA$17*(1-AD4)</f>
        <v>-60.695</v>
      </c>
      <c r="V36" s="1">
        <f t="shared" ref="V36:Z36" si="38">$R$18-U2-$AA$17*(1-AE4)</f>
        <v>3.5527136788005009E-15</v>
      </c>
      <c r="W36" s="1">
        <f t="shared" si="38"/>
        <v>-2.1199999999999974</v>
      </c>
      <c r="X36" s="1">
        <f t="shared" si="38"/>
        <v>-5.8099999999999987</v>
      </c>
      <c r="Y36" s="1">
        <f t="shared" si="38"/>
        <v>-9.2300000000000146</v>
      </c>
      <c r="Z36" s="1">
        <f t="shared" si="38"/>
        <v>-10.120000000000015</v>
      </c>
      <c r="AA36" s="1">
        <f>$R$18-Z2-$AA$17*(1-AJ4)</f>
        <v>-12.770000000000014</v>
      </c>
      <c r="AD36" s="1"/>
      <c r="AE36" s="1"/>
      <c r="AF36" s="1"/>
      <c r="AG36" s="1"/>
      <c r="AH36" s="1"/>
      <c r="AI36" s="1"/>
      <c r="AJ36" s="1"/>
      <c r="AL36" s="1"/>
      <c r="AM36" s="1"/>
      <c r="AN36" s="1"/>
      <c r="AO36" s="1"/>
      <c r="AP36" s="1"/>
      <c r="AQ36" s="1"/>
      <c r="AR36" s="1"/>
      <c r="AT36" s="1"/>
      <c r="AU36" s="1"/>
      <c r="AV36" s="1"/>
      <c r="AW36" s="1"/>
      <c r="AX36" s="1"/>
      <c r="AY36" s="1"/>
      <c r="BA36" s="1"/>
      <c r="BB36" s="1"/>
      <c r="BC36" s="1"/>
      <c r="BD36" s="1"/>
      <c r="BE36" s="1"/>
      <c r="BG36" s="1"/>
      <c r="BH36" s="1"/>
      <c r="BI36" s="1"/>
      <c r="BK36" s="1"/>
      <c r="BL36" s="1"/>
      <c r="BM36" s="1"/>
      <c r="BO36" s="1"/>
      <c r="BP36" s="1"/>
      <c r="BR36" s="1"/>
    </row>
    <row r="37" spans="1:70" x14ac:dyDescent="0.3">
      <c r="R37" s="6" t="s">
        <v>2</v>
      </c>
      <c r="S37" s="1"/>
      <c r="T37" s="1"/>
      <c r="U37" s="1">
        <f>$S$18-T2-$AA$17*(1-AL4)</f>
        <v>-58.575000000000003</v>
      </c>
      <c r="V37" s="1">
        <f t="shared" ref="V37:AA37" si="39">$S$18-U2-$AA$17*(1-AM4)</f>
        <v>-59.480000000000004</v>
      </c>
      <c r="W37" s="1">
        <f>$S$18-V2-$AA$17*(1-AN4)</f>
        <v>0</v>
      </c>
      <c r="X37" s="1">
        <f>$S$18-W2-$AA$17*(1-AO4)</f>
        <v>-3.6900000000000013</v>
      </c>
      <c r="Y37" s="1">
        <f t="shared" si="39"/>
        <v>-7.1100000000000172</v>
      </c>
      <c r="Z37" s="1">
        <f t="shared" si="39"/>
        <v>-8.0000000000000178</v>
      </c>
      <c r="AA37" s="1">
        <f t="shared" si="39"/>
        <v>-10.650000000000016</v>
      </c>
      <c r="AD37" s="1"/>
      <c r="AE37" s="1"/>
      <c r="AF37" s="1"/>
      <c r="AG37" s="1"/>
      <c r="AH37" s="1"/>
      <c r="AI37" s="1"/>
      <c r="AJ37" s="1"/>
      <c r="AL37" s="1"/>
      <c r="AM37" s="1"/>
      <c r="AN37" s="1"/>
      <c r="AO37" s="1"/>
      <c r="AP37" s="1"/>
      <c r="AQ37" s="1"/>
      <c r="AR37" s="1"/>
      <c r="AT37" s="1"/>
      <c r="AU37" s="1"/>
      <c r="AV37" s="1"/>
      <c r="AW37" s="1"/>
      <c r="AX37" s="1"/>
      <c r="AY37" s="1"/>
      <c r="BA37" s="1"/>
      <c r="BB37" s="1"/>
      <c r="BC37" s="1"/>
      <c r="BD37" s="1"/>
      <c r="BE37" s="1"/>
      <c r="BG37" s="1"/>
      <c r="BH37" s="1"/>
      <c r="BI37" s="1"/>
      <c r="BK37" s="1"/>
      <c r="BL37" s="1"/>
      <c r="BM37" s="1"/>
      <c r="BO37" s="1"/>
      <c r="BP37" s="1"/>
      <c r="BR37" s="1"/>
    </row>
    <row r="38" spans="1:70" x14ac:dyDescent="0.3">
      <c r="R38" s="6" t="s">
        <v>4</v>
      </c>
      <c r="S38" s="1"/>
      <c r="T38" s="1"/>
      <c r="U38" s="1"/>
      <c r="V38" s="1">
        <f>$T$18-U2-$AA$17*(1-AT4)</f>
        <v>-58.02000000000001</v>
      </c>
      <c r="W38" s="1">
        <f t="shared" ref="W38:AA38" si="40">$T$18-V2-$AA$17*(1-AU4)</f>
        <v>-60.140000000000008</v>
      </c>
      <c r="X38" s="1">
        <f t="shared" si="40"/>
        <v>-2.2300000000000022</v>
      </c>
      <c r="Y38" s="1">
        <f t="shared" si="40"/>
        <v>-5.6500000000000181</v>
      </c>
      <c r="Z38" s="1">
        <f t="shared" si="40"/>
        <v>-6.5400000000000187</v>
      </c>
      <c r="AA38" s="1">
        <f t="shared" si="40"/>
        <v>-9.1900000000000173</v>
      </c>
      <c r="AD38" s="1"/>
      <c r="AE38" s="1"/>
      <c r="AF38" s="1"/>
      <c r="AG38" s="1"/>
      <c r="AH38" s="1"/>
      <c r="AI38" s="1"/>
      <c r="AJ38" s="1"/>
      <c r="AL38" s="1"/>
      <c r="AM38" s="1"/>
      <c r="AN38" s="1"/>
      <c r="AO38" s="1"/>
      <c r="AP38" s="1"/>
      <c r="AQ38" s="1"/>
      <c r="AR38" s="1"/>
      <c r="AT38" s="1"/>
      <c r="AU38" s="1"/>
      <c r="AV38" s="1"/>
      <c r="AW38" s="1"/>
      <c r="AX38" s="1"/>
      <c r="AY38" s="1"/>
      <c r="BA38" s="1"/>
      <c r="BB38" s="1"/>
      <c r="BC38" s="1"/>
      <c r="BD38" s="1"/>
      <c r="BE38" s="1"/>
      <c r="BG38" s="1"/>
      <c r="BH38" s="1"/>
      <c r="BI38" s="1"/>
      <c r="BK38" s="1"/>
      <c r="BL38" s="1"/>
      <c r="BM38" s="1"/>
      <c r="BO38" s="1"/>
      <c r="BP38" s="1"/>
      <c r="BR38" s="1"/>
    </row>
    <row r="39" spans="1:70" x14ac:dyDescent="0.3">
      <c r="R39" s="6" t="s">
        <v>6</v>
      </c>
      <c r="S39" s="1"/>
      <c r="T39" s="1"/>
      <c r="U39" s="1"/>
      <c r="V39" s="1"/>
      <c r="W39" s="1">
        <f>$U$18-V2-$AA$17*(1-BA4)</f>
        <v>-56.81</v>
      </c>
      <c r="X39" s="1">
        <f t="shared" ref="X39:AA39" si="41">$U$18-W2-$AA$17*(1-BB4)</f>
        <v>-60.5</v>
      </c>
      <c r="Y39" s="1">
        <f t="shared" si="41"/>
        <v>-2.3200000000000092</v>
      </c>
      <c r="Z39" s="1">
        <f t="shared" si="41"/>
        <v>-3.2100000000000097</v>
      </c>
      <c r="AA39" s="1">
        <f t="shared" si="41"/>
        <v>-5.8600000000000083</v>
      </c>
      <c r="AD39" s="1"/>
      <c r="AE39" s="1"/>
      <c r="AF39" s="1"/>
      <c r="AG39" s="1"/>
      <c r="AH39" s="1"/>
      <c r="AI39" s="1"/>
      <c r="AJ39" s="1"/>
      <c r="AL39" s="1"/>
      <c r="AM39" s="1"/>
      <c r="AN39" s="1"/>
      <c r="AO39" s="1"/>
      <c r="AP39" s="1"/>
      <c r="AQ39" s="1"/>
      <c r="AR39" s="1"/>
      <c r="AT39" s="1"/>
      <c r="AU39" s="1"/>
      <c r="AV39" s="1"/>
      <c r="AW39" s="1"/>
      <c r="AX39" s="1"/>
      <c r="AY39" s="1"/>
      <c r="BA39" s="1"/>
      <c r="BB39" s="1"/>
      <c r="BC39" s="1"/>
      <c r="BD39" s="1"/>
      <c r="BE39" s="1"/>
      <c r="BG39" s="1"/>
      <c r="BH39" s="1"/>
      <c r="BI39" s="1"/>
      <c r="BK39" s="1"/>
      <c r="BL39" s="1"/>
      <c r="BM39" s="1"/>
      <c r="BO39" s="1"/>
      <c r="BP39" s="1"/>
      <c r="BR39" s="1"/>
    </row>
    <row r="40" spans="1:70" x14ac:dyDescent="0.3">
      <c r="R40" s="6" t="s">
        <v>8</v>
      </c>
      <c r="S40" s="1"/>
      <c r="T40" s="1"/>
      <c r="U40" s="1"/>
      <c r="V40" s="1"/>
      <c r="W40" s="1"/>
      <c r="X40" s="1"/>
      <c r="Y40" s="1">
        <f>$V$18-X2-$AA$17*(1-BG4)</f>
        <v>-60.260000000000005</v>
      </c>
      <c r="Z40" s="1">
        <f t="shared" ref="Z40:AA40" si="42">$V$18-Y2-$AA$17*(1-BH4)</f>
        <v>-61.150000000000006</v>
      </c>
      <c r="AA40" s="1">
        <f t="shared" si="42"/>
        <v>-2.1999999999999993</v>
      </c>
      <c r="AD40" s="1"/>
      <c r="AE40" s="1"/>
      <c r="AF40" s="1"/>
      <c r="AG40" s="1"/>
      <c r="AH40" s="1"/>
      <c r="AI40" s="1"/>
      <c r="AJ40" s="1"/>
      <c r="AL40" s="1"/>
      <c r="AM40" s="1"/>
      <c r="AN40" s="1"/>
      <c r="AO40" s="1"/>
      <c r="AP40" s="1"/>
      <c r="AQ40" s="1"/>
      <c r="AR40" s="1"/>
      <c r="AT40" s="1"/>
      <c r="AU40" s="1"/>
      <c r="AV40" s="1"/>
      <c r="AW40" s="1"/>
      <c r="AX40" s="1"/>
      <c r="AY40" s="1"/>
      <c r="BA40" s="1"/>
      <c r="BB40" s="1"/>
      <c r="BC40" s="1"/>
      <c r="BD40" s="1"/>
      <c r="BE40" s="1"/>
      <c r="BG40" s="1"/>
      <c r="BH40" s="1"/>
      <c r="BI40" s="1"/>
      <c r="BK40" s="1"/>
      <c r="BL40" s="1"/>
      <c r="BM40" s="1"/>
      <c r="BO40" s="1"/>
      <c r="BP40" s="1"/>
      <c r="BR40" s="1"/>
    </row>
    <row r="41" spans="1:70" x14ac:dyDescent="0.3">
      <c r="R41" s="6" t="s">
        <v>9</v>
      </c>
      <c r="S41" s="1"/>
      <c r="T41" s="1"/>
      <c r="U41" s="1"/>
      <c r="V41" s="1"/>
      <c r="W41" s="1"/>
      <c r="X41" s="1"/>
      <c r="Y41" s="1">
        <f>$W$18-X2-$AA$17*(1-BK4)</f>
        <v>-58.060000000000009</v>
      </c>
      <c r="Z41" s="1">
        <f>$W$18-Y2-$AA$17*(1-BL4)</f>
        <v>-58.95000000000001</v>
      </c>
      <c r="AA41" s="1">
        <f t="shared" ref="AA41" si="43">$W$18-Z2-$AA$17*(1-BM4)</f>
        <v>0</v>
      </c>
      <c r="AD41" s="1"/>
      <c r="AE41" s="1"/>
      <c r="AF41" s="1"/>
      <c r="AG41" s="1"/>
      <c r="AH41" s="1"/>
      <c r="AI41" s="1"/>
      <c r="AJ41" s="1"/>
      <c r="AL41" s="1"/>
      <c r="AM41" s="1"/>
      <c r="AN41" s="1"/>
      <c r="AO41" s="1"/>
      <c r="AP41" s="1"/>
      <c r="AQ41" s="1"/>
      <c r="AR41" s="1"/>
      <c r="AT41" s="1"/>
      <c r="AU41" s="1"/>
      <c r="AV41" s="1"/>
      <c r="AW41" s="1"/>
      <c r="AX41" s="1"/>
      <c r="AY41" s="1"/>
      <c r="BA41" s="1"/>
      <c r="BB41" s="1"/>
      <c r="BC41" s="1"/>
      <c r="BD41" s="1"/>
      <c r="BE41" s="1"/>
      <c r="BG41" s="1"/>
      <c r="BH41" s="1"/>
      <c r="BI41" s="1"/>
      <c r="BK41" s="1"/>
      <c r="BL41" s="1"/>
      <c r="BM41" s="1"/>
      <c r="BO41" s="1"/>
      <c r="BP41" s="1"/>
      <c r="BR41" s="1"/>
    </row>
    <row r="42" spans="1:70" x14ac:dyDescent="0.3">
      <c r="A42" t="s">
        <v>25</v>
      </c>
      <c r="R42" s="6" t="s">
        <v>11</v>
      </c>
      <c r="S42" s="1"/>
      <c r="T42" s="1"/>
      <c r="U42" s="1"/>
      <c r="V42" s="1"/>
      <c r="W42" s="1"/>
      <c r="X42" s="1"/>
      <c r="Y42" s="1"/>
      <c r="Z42" s="1">
        <f>$X$18-Y2-$AA$17*(1-BO4)</f>
        <v>-56.460000000000008</v>
      </c>
      <c r="AA42" s="1">
        <f>$X$18-Z2-$AA$17*(1-BP4)</f>
        <v>-59.11</v>
      </c>
      <c r="AD42" s="1"/>
      <c r="AE42" s="1"/>
      <c r="AF42" s="1"/>
      <c r="AG42" s="1"/>
      <c r="AH42" s="1"/>
      <c r="AI42" s="1"/>
      <c r="AJ42" s="1"/>
      <c r="AL42" s="1"/>
      <c r="AM42" s="1"/>
      <c r="AN42" s="1"/>
      <c r="AO42" s="1"/>
      <c r="AP42" s="1"/>
      <c r="AQ42" s="1"/>
      <c r="AR42" s="1"/>
      <c r="AT42" s="1"/>
      <c r="AU42" s="1"/>
      <c r="AV42" s="1"/>
      <c r="AW42" s="1"/>
      <c r="AX42" s="1"/>
      <c r="AY42" s="1"/>
      <c r="BA42" s="1"/>
      <c r="BB42" s="1"/>
      <c r="BC42" s="1"/>
      <c r="BD42" s="1"/>
      <c r="BE42" s="1"/>
      <c r="BG42" s="1"/>
      <c r="BH42" s="1"/>
      <c r="BI42" s="1"/>
      <c r="BK42" s="1"/>
      <c r="BL42" s="1"/>
      <c r="BM42" s="1"/>
      <c r="BO42" s="1"/>
      <c r="BP42" s="1"/>
      <c r="BR42" s="1"/>
    </row>
    <row r="43" spans="1:70" x14ac:dyDescent="0.3">
      <c r="B43" s="3" t="s">
        <v>1</v>
      </c>
      <c r="C43" s="3" t="s">
        <v>2</v>
      </c>
      <c r="D43" t="s">
        <v>3</v>
      </c>
      <c r="E43" s="3" t="s">
        <v>4</v>
      </c>
      <c r="F43" t="s">
        <v>5</v>
      </c>
      <c r="G43" s="3" t="s">
        <v>6</v>
      </c>
      <c r="H43" t="s">
        <v>7</v>
      </c>
      <c r="I43" s="3" t="s">
        <v>8</v>
      </c>
      <c r="J43" s="3" t="s">
        <v>9</v>
      </c>
      <c r="K43" t="s">
        <v>10</v>
      </c>
      <c r="L43" s="3" t="s">
        <v>11</v>
      </c>
      <c r="M43" t="s">
        <v>12</v>
      </c>
      <c r="N43" s="3" t="s">
        <v>13</v>
      </c>
      <c r="O43" t="s">
        <v>14</v>
      </c>
      <c r="P43" s="3" t="s">
        <v>15</v>
      </c>
      <c r="R43" s="6" t="s">
        <v>13</v>
      </c>
      <c r="S43" s="1"/>
      <c r="T43" s="1"/>
      <c r="U43" s="1"/>
      <c r="V43" s="1"/>
      <c r="W43" s="1"/>
      <c r="X43" s="1"/>
      <c r="Y43" s="1"/>
      <c r="Z43" s="1"/>
      <c r="AA43" s="1">
        <f>$Y$18-Z2-$AA$17*(1-BR4)</f>
        <v>-56.789999999999992</v>
      </c>
      <c r="AD43" s="1"/>
      <c r="AE43" s="1"/>
      <c r="AF43" s="1"/>
      <c r="AG43" s="1"/>
      <c r="AH43" s="1"/>
      <c r="AI43" s="1"/>
      <c r="AJ43" s="1"/>
      <c r="AL43" s="1"/>
      <c r="AM43" s="1"/>
      <c r="AN43" s="1"/>
      <c r="AO43" s="1"/>
      <c r="AP43" s="1"/>
      <c r="AQ43" s="1"/>
      <c r="AR43" s="1"/>
      <c r="AT43" s="1"/>
      <c r="AU43" s="1"/>
      <c r="AV43" s="1"/>
      <c r="AW43" s="1"/>
      <c r="AX43" s="1"/>
      <c r="AY43" s="1"/>
      <c r="BA43" s="1"/>
      <c r="BB43" s="1"/>
      <c r="BC43" s="1"/>
      <c r="BD43" s="1"/>
      <c r="BE43" s="1"/>
      <c r="BG43" s="1"/>
      <c r="BH43" s="1"/>
      <c r="BI43" s="1"/>
      <c r="BK43" s="1"/>
      <c r="BL43" s="1"/>
      <c r="BM43" s="1"/>
      <c r="BO43" s="1"/>
      <c r="BP43" s="1"/>
      <c r="BR43" s="1"/>
    </row>
    <row r="44" spans="1:70" x14ac:dyDescent="0.3">
      <c r="A44" s="1" t="s">
        <v>16</v>
      </c>
      <c r="B44" s="1"/>
      <c r="C44" s="1">
        <f>C16-B30</f>
        <v>0</v>
      </c>
      <c r="D44" s="1">
        <f t="shared" ref="D44:P47" si="44">D16-C30</f>
        <v>0</v>
      </c>
      <c r="E44" s="1">
        <f t="shared" si="44"/>
        <v>0.88999999999999346</v>
      </c>
      <c r="F44" s="1">
        <f t="shared" si="44"/>
        <v>0</v>
      </c>
      <c r="G44" s="1">
        <f t="shared" si="44"/>
        <v>1.5000000000004121E-2</v>
      </c>
      <c r="H44" s="1">
        <f t="shared" si="44"/>
        <v>0</v>
      </c>
      <c r="I44" s="1">
        <f t="shared" si="44"/>
        <v>0</v>
      </c>
      <c r="J44" s="1">
        <f t="shared" si="44"/>
        <v>2.4700000000000095</v>
      </c>
      <c r="K44" s="1">
        <f t="shared" si="44"/>
        <v>0</v>
      </c>
      <c r="L44" s="1">
        <f t="shared" si="44"/>
        <v>1.1000000000000085</v>
      </c>
      <c r="M44" s="1">
        <f t="shared" si="44"/>
        <v>0</v>
      </c>
      <c r="N44" s="1">
        <f t="shared" si="44"/>
        <v>0</v>
      </c>
      <c r="O44" s="1">
        <f t="shared" si="44"/>
        <v>0</v>
      </c>
      <c r="P44" s="11">
        <f t="shared" si="44"/>
        <v>0.52999999999999758</v>
      </c>
      <c r="R44" s="6" t="s">
        <v>15</v>
      </c>
      <c r="S44" s="1"/>
      <c r="T44" s="1"/>
      <c r="U44" s="1"/>
      <c r="V44" s="1"/>
      <c r="W44" s="1"/>
      <c r="X44" s="1"/>
      <c r="Y44" s="1"/>
      <c r="Z44" s="1"/>
      <c r="AA44" s="1"/>
      <c r="AD44" s="1"/>
      <c r="AE44" s="1"/>
      <c r="AF44" s="1"/>
      <c r="AG44" s="1"/>
      <c r="AH44" s="1"/>
      <c r="AI44" s="1"/>
      <c r="AJ44" s="1"/>
      <c r="AL44" s="1"/>
      <c r="AM44" s="1"/>
      <c r="AN44" s="1"/>
      <c r="AO44" s="1"/>
      <c r="AP44" s="1"/>
      <c r="AQ44" s="1"/>
      <c r="AR44" s="1"/>
      <c r="AT44" s="1"/>
      <c r="AU44" s="1"/>
      <c r="AV44" s="1"/>
      <c r="AW44" s="1"/>
      <c r="AX44" s="1"/>
      <c r="AY44" s="1"/>
      <c r="BA44" s="1"/>
      <c r="BB44" s="1"/>
      <c r="BC44" s="1"/>
      <c r="BD44" s="1"/>
      <c r="BE44" s="1"/>
      <c r="BG44" s="1"/>
      <c r="BH44" s="1"/>
      <c r="BI44" s="1"/>
      <c r="BK44" s="1"/>
      <c r="BL44" s="1"/>
      <c r="BM44" s="1"/>
      <c r="BO44" s="1"/>
      <c r="BP44" s="1"/>
      <c r="BR44" s="1"/>
    </row>
    <row r="45" spans="1:70" x14ac:dyDescent="0.3">
      <c r="A45" s="8" t="s">
        <v>18</v>
      </c>
      <c r="B45" s="8"/>
      <c r="C45" s="1">
        <f>C17-B31</f>
        <v>0.11999999999999833</v>
      </c>
      <c r="D45" s="1">
        <f t="shared" si="44"/>
        <v>0</v>
      </c>
      <c r="E45" s="1">
        <f t="shared" si="44"/>
        <v>0</v>
      </c>
      <c r="F45" s="1">
        <f t="shared" si="44"/>
        <v>0</v>
      </c>
      <c r="G45" s="1">
        <f t="shared" si="44"/>
        <v>1.894999999999996</v>
      </c>
      <c r="H45" s="1">
        <f t="shared" si="44"/>
        <v>0</v>
      </c>
      <c r="I45" s="1">
        <f t="shared" si="44"/>
        <v>1.4500000000000188</v>
      </c>
      <c r="J45" s="1">
        <f t="shared" si="44"/>
        <v>0</v>
      </c>
      <c r="K45" s="1">
        <f t="shared" si="44"/>
        <v>0</v>
      </c>
      <c r="L45" s="1">
        <f t="shared" si="44"/>
        <v>0</v>
      </c>
      <c r="M45" s="1">
        <f t="shared" si="44"/>
        <v>0</v>
      </c>
      <c r="N45" s="1">
        <f t="shared" si="44"/>
        <v>3.6800000000000033</v>
      </c>
      <c r="O45" s="1">
        <f t="shared" si="44"/>
        <v>0</v>
      </c>
      <c r="P45" s="11">
        <f t="shared" si="44"/>
        <v>0.44000000000001549</v>
      </c>
      <c r="AD45" s="1"/>
      <c r="AE45" s="1"/>
      <c r="AF45" s="1"/>
      <c r="AG45" s="1"/>
      <c r="AH45" s="1"/>
      <c r="AI45" s="1"/>
      <c r="AJ45" s="1"/>
      <c r="AL45" s="1"/>
      <c r="AM45" s="1"/>
      <c r="AN45" s="1"/>
      <c r="AO45" s="1"/>
      <c r="AP45" s="1"/>
      <c r="AQ45" s="1"/>
      <c r="AR45" s="1"/>
      <c r="AT45" s="1"/>
      <c r="AU45" s="1"/>
      <c r="AV45" s="1"/>
      <c r="AW45" s="1"/>
      <c r="AX45" s="1"/>
      <c r="AY45" s="1"/>
      <c r="BA45" s="1"/>
      <c r="BB45" s="1"/>
      <c r="BC45" s="1"/>
      <c r="BD45" s="1"/>
      <c r="BE45" s="1"/>
      <c r="BG45" s="1"/>
      <c r="BH45" s="1"/>
      <c r="BI45" s="1"/>
      <c r="BK45" s="1"/>
      <c r="BL45" s="1"/>
      <c r="BM45" s="1"/>
      <c r="BO45" s="1"/>
      <c r="BP45" s="1"/>
      <c r="BR45" s="1"/>
    </row>
    <row r="46" spans="1:70" x14ac:dyDescent="0.3">
      <c r="A46" s="1" t="s">
        <v>28</v>
      </c>
      <c r="B46" s="1"/>
      <c r="C46" s="1">
        <f t="shared" ref="C46" si="45">C18-B32</f>
        <v>0.67500000000000071</v>
      </c>
      <c r="D46" s="1">
        <f t="shared" si="44"/>
        <v>0</v>
      </c>
      <c r="E46" s="1">
        <f t="shared" si="44"/>
        <v>0</v>
      </c>
      <c r="F46" s="1">
        <f t="shared" si="44"/>
        <v>0</v>
      </c>
      <c r="G46" s="1">
        <f t="shared" si="44"/>
        <v>2.4400000000000102</v>
      </c>
      <c r="H46" s="1">
        <f t="shared" si="44"/>
        <v>0</v>
      </c>
      <c r="I46" s="1">
        <f t="shared" si="44"/>
        <v>1.660000000000009</v>
      </c>
      <c r="J46" s="1">
        <f t="shared" si="44"/>
        <v>0</v>
      </c>
      <c r="K46" s="1">
        <f t="shared" si="44"/>
        <v>0</v>
      </c>
      <c r="L46" s="1">
        <f t="shared" si="44"/>
        <v>1.0300000000000047</v>
      </c>
      <c r="M46" s="1">
        <f t="shared" si="44"/>
        <v>0</v>
      </c>
      <c r="N46" s="1">
        <f t="shared" si="44"/>
        <v>1.4300000000000068</v>
      </c>
      <c r="O46" s="1">
        <f t="shared" si="44"/>
        <v>0</v>
      </c>
      <c r="P46" s="11">
        <f t="shared" si="44"/>
        <v>1.2600000000000087</v>
      </c>
      <c r="AD46" s="1"/>
      <c r="AE46" s="1"/>
      <c r="AF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T46" s="1"/>
      <c r="AU46" s="1"/>
      <c r="AV46" s="1"/>
      <c r="AW46" s="1"/>
      <c r="AX46" s="1"/>
      <c r="AY46" s="1"/>
      <c r="BA46" s="1"/>
      <c r="BB46" s="1"/>
      <c r="BC46" s="1"/>
      <c r="BD46" s="1"/>
      <c r="BE46" s="1"/>
      <c r="BG46" s="1"/>
      <c r="BH46" s="1"/>
      <c r="BI46" s="1"/>
      <c r="BK46" s="1"/>
      <c r="BL46" s="1"/>
      <c r="BM46" s="1"/>
      <c r="BO46" s="1"/>
      <c r="BP46" s="1"/>
      <c r="BR46" s="1"/>
    </row>
    <row r="47" spans="1:70" x14ac:dyDescent="0.3">
      <c r="A47" s="1" t="s">
        <v>30</v>
      </c>
      <c r="B47" s="1"/>
      <c r="C47" s="1">
        <f>C19-B33</f>
        <v>0</v>
      </c>
      <c r="D47" s="1">
        <f t="shared" si="44"/>
        <v>0</v>
      </c>
      <c r="E47" s="1">
        <f t="shared" si="44"/>
        <v>1.960000000000008</v>
      </c>
      <c r="F47" s="1">
        <f t="shared" si="44"/>
        <v>0</v>
      </c>
      <c r="G47" s="1">
        <f t="shared" si="44"/>
        <v>0.24000000000001087</v>
      </c>
      <c r="H47" s="1">
        <f t="shared" si="44"/>
        <v>0</v>
      </c>
      <c r="I47" s="1">
        <f t="shared" si="44"/>
        <v>2.9000000000000021</v>
      </c>
      <c r="J47" s="1">
        <f t="shared" si="44"/>
        <v>0</v>
      </c>
      <c r="K47" s="1">
        <f t="shared" si="44"/>
        <v>0</v>
      </c>
      <c r="L47" s="1">
        <f t="shared" si="44"/>
        <v>1.0300000000000082</v>
      </c>
      <c r="M47" s="1">
        <f t="shared" si="44"/>
        <v>0</v>
      </c>
      <c r="N47" s="1">
        <f t="shared" si="44"/>
        <v>0</v>
      </c>
      <c r="O47" s="1">
        <f t="shared" si="44"/>
        <v>0</v>
      </c>
      <c r="P47" s="11">
        <f t="shared" si="44"/>
        <v>0.25000000000000355</v>
      </c>
      <c r="R47" t="s">
        <v>38</v>
      </c>
      <c r="AD47" s="1"/>
      <c r="AE47" s="1"/>
      <c r="AF47" s="1"/>
      <c r="AG47" s="1"/>
      <c r="AH47" s="1"/>
      <c r="AI47" s="1"/>
      <c r="AJ47" s="1"/>
      <c r="AL47" s="1"/>
      <c r="AM47" s="1"/>
      <c r="AN47" s="1"/>
      <c r="AO47" s="1"/>
      <c r="AP47" s="1"/>
      <c r="AQ47" s="1"/>
      <c r="AR47" s="1"/>
      <c r="AT47" s="1"/>
      <c r="AU47" s="1"/>
      <c r="AV47" s="1"/>
      <c r="AW47" s="1"/>
      <c r="AX47" s="1"/>
      <c r="AY47" s="1"/>
      <c r="BA47" s="1"/>
      <c r="BB47" s="1"/>
      <c r="BC47" s="1"/>
      <c r="BD47" s="1"/>
      <c r="BE47" s="1"/>
      <c r="BG47" s="1"/>
      <c r="BH47" s="1"/>
      <c r="BI47" s="1"/>
      <c r="BK47" s="1"/>
      <c r="BL47" s="1"/>
      <c r="BM47" s="1"/>
      <c r="BO47" s="1"/>
      <c r="BP47" s="1"/>
      <c r="BR47" s="1"/>
    </row>
    <row r="48" spans="1:70" x14ac:dyDescent="0.3">
      <c r="R48" s="1"/>
      <c r="S48" s="6" t="s">
        <v>1</v>
      </c>
      <c r="T48" s="6" t="s">
        <v>2</v>
      </c>
      <c r="U48" s="6" t="s">
        <v>4</v>
      </c>
      <c r="V48" s="6" t="s">
        <v>6</v>
      </c>
      <c r="W48" s="6" t="s">
        <v>8</v>
      </c>
      <c r="X48" s="6" t="s">
        <v>9</v>
      </c>
      <c r="Y48" s="6" t="s">
        <v>11</v>
      </c>
      <c r="Z48" s="6" t="s">
        <v>13</v>
      </c>
      <c r="AA48" s="6" t="s">
        <v>15</v>
      </c>
      <c r="AD48" s="1"/>
      <c r="AE48" s="1"/>
      <c r="AF48" s="1"/>
      <c r="AG48" s="1"/>
      <c r="AH48" s="1"/>
      <c r="AI48" s="1"/>
      <c r="AJ48" s="1"/>
      <c r="AL48" s="1"/>
      <c r="AM48" s="1"/>
      <c r="AN48" s="1"/>
      <c r="AO48" s="1"/>
      <c r="AP48" s="1"/>
      <c r="AQ48" s="1"/>
      <c r="AR48" s="1"/>
      <c r="AT48" s="1"/>
      <c r="AU48" s="1"/>
      <c r="AV48" s="1"/>
      <c r="AW48" s="1"/>
      <c r="AX48" s="1"/>
      <c r="AY48" s="1"/>
      <c r="BA48" s="1"/>
      <c r="BB48" s="1"/>
      <c r="BC48" s="1"/>
      <c r="BD48" s="1"/>
      <c r="BE48" s="1"/>
      <c r="BG48" s="1"/>
      <c r="BH48" s="1"/>
      <c r="BI48" s="1"/>
      <c r="BK48" s="1"/>
      <c r="BL48" s="1"/>
      <c r="BM48" s="1"/>
      <c r="BO48" s="1"/>
      <c r="BP48" s="1"/>
      <c r="BR48" s="1"/>
    </row>
    <row r="49" spans="1:70" x14ac:dyDescent="0.3">
      <c r="R49" s="6" t="s">
        <v>1</v>
      </c>
      <c r="S49" s="1"/>
      <c r="T49" s="1"/>
      <c r="U49" s="1">
        <f>$R$18-T3-$AA$17*(1-AD5)</f>
        <v>-0.55499999999999616</v>
      </c>
      <c r="V49" s="1">
        <f t="shared" ref="V49:AA49" si="46">$R$18-U3-$AA$17*(1-AE5)</f>
        <v>-3.3399999999999928</v>
      </c>
      <c r="W49" s="1">
        <f t="shared" si="46"/>
        <v>-6.9100000000000108</v>
      </c>
      <c r="X49" s="1">
        <f t="shared" si="46"/>
        <v>-6.9100000000000108</v>
      </c>
      <c r="Y49" s="1">
        <f t="shared" si="46"/>
        <v>-10.45000000000001</v>
      </c>
      <c r="Z49" s="1">
        <f t="shared" si="46"/>
        <v>-15.020000000000014</v>
      </c>
      <c r="AA49" s="1">
        <f t="shared" si="46"/>
        <v>-17.58000000000003</v>
      </c>
      <c r="AD49" s="1"/>
      <c r="AE49" s="1"/>
      <c r="AF49" s="1"/>
      <c r="AG49" s="1"/>
      <c r="AH49" s="1"/>
      <c r="AI49" s="1"/>
      <c r="AJ49" s="1"/>
      <c r="AL49" s="1"/>
      <c r="AM49" s="1"/>
      <c r="AN49" s="1"/>
      <c r="AO49" s="1"/>
      <c r="AP49" s="1"/>
      <c r="AQ49" s="1"/>
      <c r="AR49" s="1"/>
      <c r="AT49" s="1"/>
      <c r="AU49" s="1"/>
      <c r="AV49" s="1"/>
      <c r="AW49" s="1"/>
      <c r="AX49" s="1"/>
      <c r="AY49" s="1"/>
      <c r="BA49" s="1"/>
      <c r="BB49" s="1"/>
      <c r="BC49" s="1"/>
      <c r="BD49" s="1"/>
      <c r="BE49" s="1"/>
      <c r="BG49" s="1"/>
      <c r="BH49" s="1"/>
      <c r="BI49" s="1"/>
      <c r="BK49" s="1"/>
      <c r="BL49" s="1"/>
      <c r="BM49" s="1"/>
      <c r="BO49" s="1"/>
      <c r="BP49" s="1"/>
      <c r="BR49" s="1"/>
    </row>
    <row r="50" spans="1:70" x14ac:dyDescent="0.3">
      <c r="A50" t="s">
        <v>19</v>
      </c>
      <c r="R50" s="6" t="s">
        <v>2</v>
      </c>
      <c r="S50" s="1"/>
      <c r="T50" s="1"/>
      <c r="U50" s="1">
        <f>$S$18-T3-$AA$17*(1-AL5)</f>
        <v>-60.035000000000011</v>
      </c>
      <c r="V50" s="1">
        <f t="shared" ref="V50:AA50" si="47">$S$18-U3-$AA$17*(1-AM5)</f>
        <v>-1.2199999999999953</v>
      </c>
      <c r="W50" s="1">
        <f t="shared" si="47"/>
        <v>-4.7900000000000134</v>
      </c>
      <c r="X50" s="1">
        <f t="shared" si="47"/>
        <v>-4.7900000000000134</v>
      </c>
      <c r="Y50" s="1">
        <f t="shared" si="47"/>
        <v>-8.3300000000000125</v>
      </c>
      <c r="Z50" s="1">
        <f t="shared" si="47"/>
        <v>-12.900000000000016</v>
      </c>
      <c r="AA50" s="1">
        <f t="shared" si="47"/>
        <v>-15.460000000000033</v>
      </c>
      <c r="AD50" s="1"/>
      <c r="AE50" s="1"/>
      <c r="AF50" s="1"/>
      <c r="AG50" s="1"/>
      <c r="AH50" s="1"/>
      <c r="AI50" s="1"/>
      <c r="AJ50" s="1"/>
      <c r="AL50" s="1"/>
      <c r="AM50" s="1"/>
      <c r="AN50" s="1"/>
      <c r="AO50" s="1"/>
      <c r="AP50" s="1"/>
      <c r="AQ50" s="1"/>
      <c r="AR50" s="1"/>
      <c r="AT50" s="1"/>
      <c r="AU50" s="1"/>
      <c r="AV50" s="1"/>
      <c r="AW50" s="1"/>
      <c r="AX50" s="1"/>
      <c r="AY50" s="1"/>
      <c r="BA50" s="1"/>
      <c r="BB50" s="1"/>
      <c r="BC50" s="1"/>
      <c r="BD50" s="1"/>
      <c r="BE50" s="1"/>
      <c r="BG50" s="1"/>
      <c r="BH50" s="1"/>
      <c r="BI50" s="1"/>
      <c r="BK50" s="1"/>
      <c r="BL50" s="1"/>
      <c r="BM50" s="1"/>
      <c r="BO50" s="1"/>
      <c r="BP50" s="1"/>
      <c r="BR50" s="1"/>
    </row>
    <row r="51" spans="1:70" x14ac:dyDescent="0.3">
      <c r="A51" t="s">
        <v>20</v>
      </c>
      <c r="R51" s="6" t="s">
        <v>4</v>
      </c>
      <c r="S51" s="1"/>
      <c r="T51" s="1"/>
      <c r="U51" s="1"/>
      <c r="V51" s="1">
        <f>$T$18-U3-$AA$17*(1-AT5)</f>
        <v>-61.360000000000007</v>
      </c>
      <c r="W51" s="1">
        <f t="shared" ref="W51:AA51" si="48">$T$18-V3-$AA$17*(1-AU5)</f>
        <v>-3.3300000000000143</v>
      </c>
      <c r="X51" s="1">
        <f t="shared" si="48"/>
        <v>-3.3300000000000143</v>
      </c>
      <c r="Y51" s="1">
        <f t="shared" si="48"/>
        <v>-6.8700000000000134</v>
      </c>
      <c r="Z51" s="1">
        <f t="shared" si="48"/>
        <v>-11.440000000000017</v>
      </c>
      <c r="AA51" s="1">
        <f t="shared" si="48"/>
        <v>-14.000000000000034</v>
      </c>
      <c r="AD51" s="1"/>
      <c r="AE51" s="1"/>
      <c r="AF51" s="1"/>
      <c r="AG51" s="1"/>
      <c r="AH51" s="1"/>
      <c r="AI51" s="1"/>
      <c r="AJ51" s="1"/>
      <c r="AL51" s="1"/>
      <c r="AM51" s="1"/>
      <c r="AN51" s="1"/>
      <c r="AO51" s="1"/>
      <c r="AP51" s="1"/>
      <c r="AQ51" s="1"/>
      <c r="AR51" s="1"/>
      <c r="AT51" s="1"/>
      <c r="AU51" s="1"/>
      <c r="AV51" s="1"/>
      <c r="AW51" s="1"/>
      <c r="AX51" s="1"/>
      <c r="AY51" s="1"/>
      <c r="BA51" s="1"/>
      <c r="BB51" s="1"/>
      <c r="BC51" s="1"/>
      <c r="BD51" s="1"/>
      <c r="BE51" s="1"/>
      <c r="BG51" s="1"/>
      <c r="BH51" s="1"/>
      <c r="BI51" s="1"/>
      <c r="BK51" s="1"/>
      <c r="BL51" s="1"/>
      <c r="BM51" s="1"/>
      <c r="BO51" s="1"/>
      <c r="BP51" s="1"/>
      <c r="BR51" s="1"/>
    </row>
    <row r="52" spans="1:70" x14ac:dyDescent="0.3">
      <c r="A52" t="s">
        <v>23</v>
      </c>
      <c r="R52" s="6" t="s">
        <v>6</v>
      </c>
      <c r="S52" s="1"/>
      <c r="T52" s="1"/>
      <c r="U52" s="1"/>
      <c r="V52" s="1"/>
      <c r="W52" s="1">
        <f>$U$18-V3-$AA$17*(1-BA5)</f>
        <v>-5.3290705182007514E-15</v>
      </c>
      <c r="X52" s="1">
        <f t="shared" ref="X52:AA52" si="49">$U$18-W3-$AA$17*(1-BB5)</f>
        <v>-5.3290705182007514E-15</v>
      </c>
      <c r="Y52" s="1">
        <f t="shared" si="49"/>
        <v>-3.5400000000000045</v>
      </c>
      <c r="Z52" s="1">
        <f t="shared" si="49"/>
        <v>-8.1100000000000083</v>
      </c>
      <c r="AA52" s="1">
        <f t="shared" si="49"/>
        <v>-10.670000000000025</v>
      </c>
      <c r="AD52" s="1"/>
      <c r="AE52" s="1"/>
      <c r="AF52" s="1"/>
      <c r="AG52" s="1"/>
      <c r="AH52" s="1"/>
      <c r="AI52" s="1"/>
      <c r="AJ52" s="1"/>
      <c r="AL52" s="1"/>
      <c r="AM52" s="1"/>
      <c r="AN52" s="1"/>
      <c r="AO52" s="1"/>
      <c r="AP52" s="1"/>
      <c r="AQ52" s="1"/>
      <c r="AR52" s="1"/>
      <c r="AT52" s="1"/>
      <c r="AU52" s="1"/>
      <c r="AV52" s="1"/>
      <c r="AW52" s="1"/>
      <c r="AX52" s="1"/>
      <c r="AY52" s="1"/>
      <c r="BA52" s="1"/>
      <c r="BB52" s="1"/>
      <c r="BC52" s="1"/>
      <c r="BD52" s="1"/>
      <c r="BE52" s="1"/>
      <c r="BG52" s="1"/>
      <c r="BH52" s="1"/>
      <c r="BI52" s="1"/>
      <c r="BK52" s="1"/>
      <c r="BL52" s="1"/>
      <c r="BM52" s="1"/>
      <c r="BO52" s="1"/>
      <c r="BP52" s="1"/>
      <c r="BR52" s="1"/>
    </row>
    <row r="53" spans="1:70" x14ac:dyDescent="0.3">
      <c r="A53" t="s">
        <v>24</v>
      </c>
      <c r="R53" s="6" t="s">
        <v>8</v>
      </c>
      <c r="S53" s="1"/>
      <c r="T53" s="1"/>
      <c r="U53" s="1"/>
      <c r="V53" s="1"/>
      <c r="W53" s="1"/>
      <c r="X53" s="1"/>
      <c r="Y53" s="1">
        <f>$V$18-X3-$AA$17*(1-BG5)</f>
        <v>-61.480000000000004</v>
      </c>
      <c r="Z53" s="1">
        <f t="shared" ref="Z53:AA53" si="50">$V$18-Y3-$AA$17*(1-BH5)</f>
        <v>-4.4499999999999993</v>
      </c>
      <c r="AA53" s="1">
        <f t="shared" si="50"/>
        <v>-7.0100000000000158</v>
      </c>
      <c r="AD53" s="1"/>
      <c r="AE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R53" s="1"/>
      <c r="AT53" s="1"/>
      <c r="AU53" s="1"/>
      <c r="AV53" s="1"/>
      <c r="AW53" s="1"/>
      <c r="AX53" s="1"/>
      <c r="AY53" s="1"/>
      <c r="BA53" s="1"/>
      <c r="BB53" s="1"/>
      <c r="BC53" s="1"/>
      <c r="BD53" s="1"/>
      <c r="BE53" s="1"/>
      <c r="BG53" s="1"/>
      <c r="BH53" s="1"/>
      <c r="BI53" s="1"/>
      <c r="BK53" s="1"/>
      <c r="BL53" s="1"/>
      <c r="BM53" s="1"/>
      <c r="BO53" s="1"/>
      <c r="BP53" s="1"/>
      <c r="BR53" s="1"/>
    </row>
    <row r="54" spans="1:70" x14ac:dyDescent="0.3">
      <c r="R54" s="6" t="s">
        <v>9</v>
      </c>
      <c r="S54" s="1"/>
      <c r="T54" s="1"/>
      <c r="U54" s="1"/>
      <c r="V54" s="1"/>
      <c r="W54" s="1"/>
      <c r="X54" s="1"/>
      <c r="Y54" s="1">
        <f>$W$18-X3-$AA$17*(1-BK5)</f>
        <v>-59.28</v>
      </c>
      <c r="Z54" s="1">
        <f t="shared" ref="Z54:AA54" si="51">$W$18-Y3-$AA$17*(1-BL5)</f>
        <v>-2.25</v>
      </c>
      <c r="AA54" s="1">
        <f t="shared" si="51"/>
        <v>-4.8100000000000165</v>
      </c>
      <c r="AD54" s="1"/>
      <c r="AE54" s="1"/>
      <c r="AF54" s="1"/>
      <c r="AG54" s="1"/>
      <c r="AH54" s="1"/>
      <c r="AI54" s="1"/>
      <c r="AJ54" s="1"/>
      <c r="AL54" s="1"/>
      <c r="AM54" s="1"/>
      <c r="AN54" s="1"/>
      <c r="AO54" s="1"/>
      <c r="AP54" s="1"/>
      <c r="AQ54" s="1"/>
      <c r="AR54" s="1"/>
      <c r="AT54" s="1"/>
      <c r="AU54" s="1"/>
      <c r="AV54" s="1"/>
      <c r="AW54" s="1"/>
      <c r="AX54" s="1"/>
      <c r="AY54" s="1"/>
      <c r="BA54" s="1"/>
      <c r="BB54" s="1"/>
      <c r="BC54" s="1"/>
      <c r="BD54" s="1"/>
      <c r="BE54" s="1"/>
      <c r="BG54" s="1"/>
      <c r="BH54" s="1"/>
      <c r="BI54" s="1"/>
      <c r="BK54" s="1"/>
      <c r="BL54" s="1"/>
      <c r="BM54" s="1"/>
      <c r="BO54" s="1"/>
      <c r="BP54" s="1"/>
      <c r="BR54" s="1"/>
    </row>
    <row r="55" spans="1:70" x14ac:dyDescent="0.3">
      <c r="R55" s="6" t="s">
        <v>11</v>
      </c>
      <c r="S55" s="1"/>
      <c r="T55" s="1"/>
      <c r="U55" s="1"/>
      <c r="V55" s="1"/>
      <c r="W55" s="1"/>
      <c r="X55" s="1"/>
      <c r="Y55" s="1"/>
      <c r="Z55" s="1">
        <f>$X$18-Y3-$AA$17*(1-BO5)</f>
        <v>-61.36</v>
      </c>
      <c r="AA55" s="1">
        <f>$X$18-Z3-$AA$17*(1-BP5)</f>
        <v>-2.3200000000000109</v>
      </c>
      <c r="AD55" s="1"/>
      <c r="AE55" s="1"/>
      <c r="AF55" s="1"/>
      <c r="AG55" s="1"/>
      <c r="AH55" s="1"/>
      <c r="AI55" s="1"/>
      <c r="AJ55" s="1"/>
      <c r="AL55" s="1"/>
      <c r="AM55" s="1"/>
      <c r="AN55" s="1"/>
      <c r="AO55" s="1"/>
      <c r="AP55" s="1"/>
      <c r="AQ55" s="1"/>
      <c r="AR55" s="1"/>
      <c r="AT55" s="1"/>
      <c r="AU55" s="1"/>
      <c r="AV55" s="1"/>
      <c r="AW55" s="1"/>
      <c r="AX55" s="1"/>
      <c r="AY55" s="1"/>
      <c r="BA55" s="1"/>
      <c r="BB55" s="1"/>
      <c r="BC55" s="1"/>
      <c r="BD55" s="1"/>
      <c r="BE55" s="1"/>
      <c r="BG55" s="1"/>
      <c r="BH55" s="1"/>
      <c r="BI55" s="1"/>
      <c r="BK55" s="1"/>
      <c r="BL55" s="1"/>
      <c r="BM55" s="1"/>
      <c r="BO55" s="1"/>
      <c r="BP55" s="1"/>
      <c r="BR55" s="1"/>
    </row>
    <row r="56" spans="1:70" x14ac:dyDescent="0.3">
      <c r="A56" t="s">
        <v>25</v>
      </c>
      <c r="R56" s="6" t="s">
        <v>13</v>
      </c>
      <c r="S56" s="1"/>
      <c r="T56" s="1"/>
      <c r="U56" s="1"/>
      <c r="V56" s="1"/>
      <c r="W56" s="1"/>
      <c r="X56" s="1"/>
      <c r="Y56" s="1"/>
      <c r="Z56" s="1"/>
      <c r="AA56" s="1">
        <f>$Y$18-Z3-$AA$17*(1-BR5)</f>
        <v>-3.5527136788005009E-15</v>
      </c>
      <c r="AD56" s="1"/>
      <c r="AE56" s="1"/>
      <c r="AF56" s="1"/>
      <c r="AG56" s="1"/>
      <c r="AH56" s="1"/>
      <c r="AI56" s="1"/>
      <c r="AJ56" s="1"/>
      <c r="AL56" s="1"/>
      <c r="AM56" s="1"/>
      <c r="AN56" s="1"/>
      <c r="AO56" s="1"/>
      <c r="AP56" s="1"/>
      <c r="AQ56" s="1"/>
      <c r="AR56" s="1"/>
      <c r="AT56" s="1"/>
      <c r="AU56" s="1"/>
      <c r="AV56" s="1"/>
      <c r="AW56" s="1"/>
      <c r="AX56" s="1"/>
      <c r="AY56" s="1"/>
      <c r="BA56" s="1"/>
      <c r="BB56" s="1"/>
      <c r="BC56" s="1"/>
      <c r="BD56" s="1"/>
      <c r="BE56" s="1"/>
      <c r="BG56" s="1"/>
      <c r="BH56" s="1"/>
      <c r="BI56" s="1"/>
      <c r="BK56" s="1"/>
      <c r="BL56" s="1"/>
      <c r="BM56" s="1"/>
      <c r="BO56" s="1"/>
      <c r="BP56" s="1"/>
      <c r="BR56" s="1"/>
    </row>
    <row r="57" spans="1:70" x14ac:dyDescent="0.3">
      <c r="B57" s="3" t="s">
        <v>1</v>
      </c>
      <c r="C57" s="3" t="s">
        <v>2</v>
      </c>
      <c r="D57" t="s">
        <v>3</v>
      </c>
      <c r="E57" s="3" t="s">
        <v>4</v>
      </c>
      <c r="F57" t="s">
        <v>5</v>
      </c>
      <c r="G57" s="3" t="s">
        <v>6</v>
      </c>
      <c r="H57" t="s">
        <v>7</v>
      </c>
      <c r="I57" s="3" t="s">
        <v>8</v>
      </c>
      <c r="J57" s="3" t="s">
        <v>9</v>
      </c>
      <c r="K57" t="s">
        <v>10</v>
      </c>
      <c r="L57" s="3" t="s">
        <v>11</v>
      </c>
      <c r="M57" t="s">
        <v>12</v>
      </c>
      <c r="N57" s="3" t="s">
        <v>13</v>
      </c>
      <c r="O57" t="s">
        <v>14</v>
      </c>
      <c r="P57" s="3" t="s">
        <v>15</v>
      </c>
      <c r="R57" s="6" t="s">
        <v>15</v>
      </c>
      <c r="S57" s="1"/>
      <c r="T57" s="1"/>
      <c r="U57" s="1"/>
      <c r="V57" s="1"/>
      <c r="W57" s="1"/>
      <c r="X57" s="1"/>
      <c r="Y57" s="1"/>
      <c r="Z57" s="1"/>
      <c r="AA57" s="1"/>
      <c r="AD57" s="1"/>
      <c r="AE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R57" s="1"/>
      <c r="AT57" s="1"/>
      <c r="AU57" s="1"/>
      <c r="AV57" s="1"/>
      <c r="AW57" s="1"/>
      <c r="AX57" s="1"/>
      <c r="AY57" s="1"/>
      <c r="BA57" s="1"/>
      <c r="BB57" s="1"/>
      <c r="BC57" s="1"/>
      <c r="BD57" s="1"/>
      <c r="BE57" s="1"/>
      <c r="BG57" s="1"/>
      <c r="BH57" s="1"/>
      <c r="BI57" s="1"/>
      <c r="BK57" s="1"/>
      <c r="BL57" s="1"/>
      <c r="BM57" s="1"/>
      <c r="BO57" s="1"/>
      <c r="BP57" s="1"/>
      <c r="BR57" s="1"/>
    </row>
    <row r="58" spans="1:70" x14ac:dyDescent="0.3">
      <c r="A58" s="1" t="s">
        <v>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1"/>
      <c r="AD58" s="1"/>
      <c r="AE58" s="1"/>
      <c r="AF58" s="1"/>
      <c r="AG58" s="1"/>
      <c r="AH58" s="1"/>
      <c r="AI58" s="1"/>
      <c r="AJ58" s="1"/>
      <c r="AL58" s="1"/>
      <c r="AM58" s="1"/>
      <c r="AN58" s="1"/>
      <c r="AO58" s="1"/>
      <c r="AP58" s="1"/>
      <c r="AQ58" s="1"/>
      <c r="AR58" s="1"/>
      <c r="AT58" s="1"/>
      <c r="AU58" s="1"/>
      <c r="AV58" s="1"/>
      <c r="AW58" s="1"/>
      <c r="AX58" s="1"/>
      <c r="AY58" s="1"/>
      <c r="BA58" s="1"/>
      <c r="BB58" s="1"/>
      <c r="BC58" s="1"/>
      <c r="BD58" s="1"/>
      <c r="BE58" s="1"/>
      <c r="BG58" s="1"/>
      <c r="BH58" s="1"/>
      <c r="BI58" s="1"/>
      <c r="BK58" s="1"/>
      <c r="BL58" s="1"/>
      <c r="BM58" s="1"/>
      <c r="BO58" s="1"/>
      <c r="BP58" s="1"/>
      <c r="BR58" s="1"/>
    </row>
    <row r="59" spans="1:70" x14ac:dyDescent="0.3">
      <c r="A59" s="1" t="s">
        <v>18</v>
      </c>
      <c r="B59" s="1">
        <f>B17-C30</f>
        <v>0</v>
      </c>
      <c r="C59" s="1">
        <f t="shared" ref="C59:P61" si="52">C17-C30</f>
        <v>2.3499999999999983</v>
      </c>
      <c r="D59" s="1">
        <f t="shared" si="52"/>
        <v>1.009999999999998</v>
      </c>
      <c r="E59" s="1">
        <f t="shared" si="52"/>
        <v>1.3400000000000043</v>
      </c>
      <c r="F59" s="1">
        <f t="shared" si="52"/>
        <v>0.69000000000000394</v>
      </c>
      <c r="G59" s="1">
        <f t="shared" si="52"/>
        <v>3.2199999999999962</v>
      </c>
      <c r="H59" s="1">
        <f t="shared" si="52"/>
        <v>1.3399999999999954</v>
      </c>
      <c r="I59" s="1">
        <f>I17-J30</f>
        <v>0.12000000000000455</v>
      </c>
      <c r="J59" s="1">
        <f t="shared" si="52"/>
        <v>0.12000000000000455</v>
      </c>
      <c r="K59" s="1">
        <f t="shared" si="52"/>
        <v>0.98000000000000398</v>
      </c>
      <c r="L59" s="1">
        <f t="shared" si="52"/>
        <v>1.0999999999999961</v>
      </c>
      <c r="M59" s="1">
        <f t="shared" si="52"/>
        <v>0.44999999999999574</v>
      </c>
      <c r="N59" s="1">
        <f t="shared" si="52"/>
        <v>4.7799999999999994</v>
      </c>
      <c r="O59" s="1">
        <f t="shared" si="52"/>
        <v>2.8999999999999986</v>
      </c>
      <c r="P59" s="11">
        <f t="shared" si="52"/>
        <v>2.5600000000000165</v>
      </c>
      <c r="AD59" s="1"/>
      <c r="AE59" s="1"/>
      <c r="AF59" s="1"/>
      <c r="AG59" s="1"/>
      <c r="AH59" s="1"/>
      <c r="AI59" s="1"/>
      <c r="AJ59" s="1"/>
      <c r="AL59" s="1"/>
      <c r="AM59" s="1"/>
      <c r="AN59" s="1"/>
      <c r="AO59" s="1"/>
      <c r="AP59" s="1"/>
      <c r="AQ59" s="1"/>
      <c r="AR59" s="1"/>
      <c r="AT59" s="1"/>
      <c r="AU59" s="1"/>
      <c r="AV59" s="1"/>
      <c r="AW59" s="1"/>
      <c r="AX59" s="1"/>
      <c r="AY59" s="1"/>
      <c r="BA59" s="1"/>
      <c r="BB59" s="1"/>
      <c r="BC59" s="1"/>
      <c r="BD59" s="1"/>
      <c r="BE59" s="1"/>
      <c r="BG59" s="1"/>
      <c r="BH59" s="1"/>
      <c r="BI59" s="1"/>
      <c r="BK59" s="1"/>
      <c r="BL59" s="1"/>
      <c r="BM59" s="1"/>
      <c r="BO59" s="1"/>
      <c r="BP59" s="1"/>
      <c r="BR59" s="1"/>
    </row>
    <row r="60" spans="1:70" x14ac:dyDescent="0.3">
      <c r="A60" s="1" t="s">
        <v>28</v>
      </c>
      <c r="B60" s="1">
        <f t="shared" ref="B60:B61" si="53">B18-C31</f>
        <v>0</v>
      </c>
      <c r="C60" s="1">
        <f t="shared" si="52"/>
        <v>1.4600000000000044</v>
      </c>
      <c r="D60" s="1">
        <f t="shared" si="52"/>
        <v>1.5650000000000013</v>
      </c>
      <c r="E60" s="1">
        <f t="shared" si="52"/>
        <v>2.785000000000001</v>
      </c>
      <c r="F60" s="1">
        <f t="shared" si="52"/>
        <v>2.1349999999999998</v>
      </c>
      <c r="G60" s="1">
        <f t="shared" si="52"/>
        <v>3.3300000000000143</v>
      </c>
      <c r="H60" s="1">
        <f t="shared" si="52"/>
        <v>1.4500000000000135</v>
      </c>
      <c r="I60" s="1">
        <f t="shared" ref="I60:I61" si="54">I18-J31</f>
        <v>1.4600000000000044</v>
      </c>
      <c r="J60" s="1">
        <f t="shared" si="52"/>
        <v>1.4600000000000044</v>
      </c>
      <c r="K60" s="1">
        <f t="shared" si="52"/>
        <v>2.3200000000000038</v>
      </c>
      <c r="L60" s="1">
        <f t="shared" si="52"/>
        <v>4.5700000000000092</v>
      </c>
      <c r="M60" s="1">
        <f t="shared" si="52"/>
        <v>3.9200000000000088</v>
      </c>
      <c r="N60" s="1">
        <f t="shared" si="52"/>
        <v>2.3200000000000109</v>
      </c>
      <c r="O60" s="1">
        <f t="shared" si="52"/>
        <v>0.44000000000001194</v>
      </c>
      <c r="P60" s="11">
        <f t="shared" si="52"/>
        <v>1.0100000000000051</v>
      </c>
      <c r="R60" t="s">
        <v>48</v>
      </c>
      <c r="AD60" s="1"/>
      <c r="AE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R60" s="1"/>
      <c r="AT60" s="1"/>
      <c r="AU60" s="1"/>
      <c r="AV60" s="1"/>
      <c r="AW60" s="1"/>
      <c r="AX60" s="1"/>
      <c r="AY60" s="1"/>
      <c r="BA60" s="1"/>
      <c r="BB60" s="1"/>
      <c r="BC60" s="1"/>
      <c r="BD60" s="1"/>
      <c r="BE60" s="1"/>
      <c r="BG60" s="1"/>
      <c r="BH60" s="1"/>
      <c r="BI60" s="1"/>
      <c r="BK60" s="1"/>
      <c r="BL60" s="1"/>
      <c r="BM60" s="1"/>
      <c r="BO60" s="1"/>
      <c r="BP60" s="1"/>
      <c r="BR60" s="1"/>
    </row>
    <row r="61" spans="1:70" x14ac:dyDescent="0.3">
      <c r="A61" s="1" t="s">
        <v>53</v>
      </c>
      <c r="B61" s="1">
        <f t="shared" si="53"/>
        <v>1.4600000000000044</v>
      </c>
      <c r="C61" s="1">
        <f t="shared" si="52"/>
        <v>1.4600000000000044</v>
      </c>
      <c r="D61" s="1">
        <f t="shared" si="52"/>
        <v>2.350000000000005</v>
      </c>
      <c r="E61" s="1">
        <f t="shared" si="52"/>
        <v>5.5300000000000136</v>
      </c>
      <c r="F61" s="1">
        <f t="shared" si="52"/>
        <v>4.8800000000000132</v>
      </c>
      <c r="G61" s="1">
        <f t="shared" si="52"/>
        <v>3.3300000000000143</v>
      </c>
      <c r="H61" s="1">
        <f t="shared" si="52"/>
        <v>1.4500000000000135</v>
      </c>
      <c r="I61" s="1">
        <f t="shared" si="54"/>
        <v>2.4900000000000091</v>
      </c>
      <c r="J61" s="1">
        <f t="shared" si="52"/>
        <v>2.4900000000000091</v>
      </c>
      <c r="K61" s="1">
        <f t="shared" si="52"/>
        <v>3.3500000000000085</v>
      </c>
      <c r="L61" s="1">
        <f t="shared" si="52"/>
        <v>4.5700000000000109</v>
      </c>
      <c r="M61" s="1">
        <f t="shared" si="52"/>
        <v>3.9200000000000124</v>
      </c>
      <c r="N61" s="1">
        <f t="shared" si="52"/>
        <v>3.1400000000000041</v>
      </c>
      <c r="O61" s="1">
        <f t="shared" si="52"/>
        <v>1.2600000000000051</v>
      </c>
      <c r="P61" s="11">
        <f>P19-P32</f>
        <v>0</v>
      </c>
      <c r="R61" s="1"/>
      <c r="S61" s="6" t="s">
        <v>1</v>
      </c>
      <c r="T61" s="6" t="s">
        <v>2</v>
      </c>
      <c r="U61" s="6" t="s">
        <v>4</v>
      </c>
      <c r="V61" s="6" t="s">
        <v>6</v>
      </c>
      <c r="W61" s="6" t="s">
        <v>8</v>
      </c>
      <c r="X61" s="6" t="s">
        <v>9</v>
      </c>
      <c r="Y61" s="6" t="s">
        <v>11</v>
      </c>
      <c r="Z61" s="6" t="s">
        <v>13</v>
      </c>
      <c r="AA61" s="6" t="s">
        <v>15</v>
      </c>
      <c r="AD61" s="1"/>
      <c r="AE61" s="1"/>
      <c r="AF61" s="1"/>
      <c r="AG61" s="1"/>
      <c r="AH61" s="1"/>
      <c r="AI61" s="1"/>
      <c r="AJ61" s="1"/>
      <c r="AL61" s="1"/>
      <c r="AM61" s="1"/>
      <c r="AN61" s="1"/>
      <c r="AO61" s="1"/>
      <c r="AP61" s="1"/>
      <c r="AQ61" s="1"/>
      <c r="AR61" s="1"/>
      <c r="AT61" s="1"/>
      <c r="AU61" s="1"/>
      <c r="AV61" s="1"/>
      <c r="AW61" s="1"/>
      <c r="AX61" s="1"/>
      <c r="AY61" s="1"/>
      <c r="BA61" s="1"/>
      <c r="BB61" s="1"/>
      <c r="BC61" s="1"/>
      <c r="BD61" s="1"/>
      <c r="BE61" s="1"/>
      <c r="BG61" s="1"/>
      <c r="BH61" s="1"/>
      <c r="BI61" s="1"/>
      <c r="BK61" s="1"/>
      <c r="BL61" s="1"/>
      <c r="BM61" s="1"/>
      <c r="BO61" s="1"/>
      <c r="BP61" s="1"/>
      <c r="BR61" s="1"/>
    </row>
    <row r="62" spans="1:70" x14ac:dyDescent="0.3">
      <c r="R62" s="6" t="s">
        <v>1</v>
      </c>
      <c r="S62" s="1"/>
      <c r="T62" s="1"/>
      <c r="U62" s="1">
        <f>T16-$R$3-$AA$17*(1-AD6)</f>
        <v>-59.250000000000014</v>
      </c>
      <c r="V62" s="1">
        <f>U16-$R$3-$AA$17*(1-AE6)</f>
        <v>-58.345000000000013</v>
      </c>
      <c r="W62" s="1">
        <f t="shared" ref="W62:AA62" si="55">V16-$R$3-$AA$17*(1-AF6)</f>
        <v>-55.125000000000014</v>
      </c>
      <c r="X62" s="1">
        <f t="shared" si="55"/>
        <v>-51.674999999999997</v>
      </c>
      <c r="Y62" s="1">
        <f t="shared" si="55"/>
        <v>-49.114999999999995</v>
      </c>
      <c r="Z62" s="1">
        <f t="shared" si="55"/>
        <v>-48.224999999999994</v>
      </c>
      <c r="AA62" s="1">
        <f t="shared" si="55"/>
        <v>-43.444999999999993</v>
      </c>
      <c r="AD62" s="6"/>
      <c r="AE62" s="6"/>
      <c r="AF62" s="6"/>
      <c r="AG62" s="6"/>
      <c r="AH62" s="6"/>
      <c r="AI62" s="6"/>
      <c r="AJ62" s="6"/>
      <c r="AK62" s="3"/>
      <c r="AL62" s="6"/>
      <c r="AM62" s="6"/>
      <c r="AN62" s="6"/>
      <c r="AO62" s="6"/>
      <c r="AP62" s="6"/>
      <c r="AQ62" s="6"/>
      <c r="AR62" s="6"/>
      <c r="AS62" s="3"/>
      <c r="AT62" s="6"/>
      <c r="AU62" s="6"/>
      <c r="AV62" s="6"/>
      <c r="AW62" s="6"/>
      <c r="AX62" s="6"/>
      <c r="AY62" s="6"/>
      <c r="AZ62" s="3"/>
      <c r="BA62" s="6"/>
      <c r="BB62" s="6"/>
      <c r="BC62" s="6"/>
      <c r="BD62" s="6"/>
      <c r="BE62" s="6"/>
      <c r="BF62" s="3"/>
      <c r="BG62" s="6"/>
      <c r="BH62" s="6"/>
      <c r="BI62" s="6"/>
      <c r="BJ62" s="3"/>
      <c r="BK62" s="6"/>
      <c r="BL62" s="6"/>
      <c r="BM62" s="6"/>
      <c r="BN62" s="3"/>
      <c r="BO62" s="6"/>
      <c r="BP62" s="6"/>
      <c r="BQ62" s="3"/>
      <c r="BR62" s="6"/>
    </row>
    <row r="63" spans="1:70" x14ac:dyDescent="0.3">
      <c r="R63" s="6" t="s">
        <v>2</v>
      </c>
      <c r="S63" s="1"/>
      <c r="T63" s="1"/>
      <c r="U63" s="1">
        <f>T16-$S$3-$AA$17*(1-AL6)</f>
        <v>-4.4408920985006262E-15</v>
      </c>
      <c r="V63" s="1">
        <f t="shared" ref="V63:AA63" si="56">U16-$S$3-$AA$17*(1-AM6)</f>
        <v>-60.695000000000007</v>
      </c>
      <c r="W63" s="1">
        <f t="shared" si="56"/>
        <v>-57.475000000000016</v>
      </c>
      <c r="X63" s="1">
        <f t="shared" si="56"/>
        <v>-54.024999999999999</v>
      </c>
      <c r="Y63" s="1">
        <f t="shared" si="56"/>
        <v>-51.464999999999989</v>
      </c>
      <c r="Z63" s="1">
        <f t="shared" si="56"/>
        <v>-50.574999999999989</v>
      </c>
      <c r="AA63" s="1">
        <f t="shared" si="56"/>
        <v>-45.794999999999987</v>
      </c>
      <c r="AD63" s="1"/>
      <c r="AE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R63" s="1"/>
      <c r="AT63" s="1"/>
      <c r="AU63" s="1"/>
      <c r="AV63" s="1"/>
      <c r="AW63" s="1"/>
      <c r="AX63" s="1"/>
      <c r="AY63" s="1"/>
      <c r="BA63" s="1"/>
      <c r="BB63" s="1"/>
      <c r="BC63" s="1"/>
      <c r="BD63" s="1"/>
      <c r="BE63" s="1"/>
      <c r="BG63" s="1"/>
      <c r="BH63" s="1"/>
      <c r="BI63" s="1"/>
      <c r="BK63" s="1"/>
      <c r="BL63" s="1"/>
      <c r="BM63" s="1"/>
      <c r="BO63" s="1"/>
      <c r="BP63" s="1"/>
      <c r="BR63" s="1"/>
    </row>
    <row r="64" spans="1:70" x14ac:dyDescent="0.3">
      <c r="A64" t="s">
        <v>19</v>
      </c>
      <c r="R64" s="6" t="s">
        <v>4</v>
      </c>
      <c r="S64" s="1"/>
      <c r="T64" s="1"/>
      <c r="U64" s="1"/>
      <c r="V64" s="1">
        <f>U16-$T$3-$AA$17*(1-AT6)</f>
        <v>-0.43499999999999961</v>
      </c>
      <c r="W64" s="1">
        <f t="shared" ref="W64:AA64" si="57">V16-$T$3-$AA$17*(1-AU6)</f>
        <v>-58.815000000000012</v>
      </c>
      <c r="X64" s="1">
        <f t="shared" si="57"/>
        <v>-55.364999999999995</v>
      </c>
      <c r="Y64" s="1">
        <f t="shared" si="57"/>
        <v>-52.804999999999993</v>
      </c>
      <c r="Z64" s="1">
        <f t="shared" si="57"/>
        <v>-51.914999999999992</v>
      </c>
      <c r="AA64" s="1">
        <f t="shared" si="57"/>
        <v>-47.134999999999991</v>
      </c>
      <c r="AD64" s="1"/>
      <c r="AE64" s="1"/>
      <c r="AF64" s="1"/>
      <c r="AG64" s="1"/>
      <c r="AH64" s="1"/>
      <c r="AI64" s="1"/>
      <c r="AJ64" s="1"/>
      <c r="AL64" s="1"/>
      <c r="AM64" s="1"/>
      <c r="AN64" s="1"/>
      <c r="AO64" s="1"/>
      <c r="AP64" s="1"/>
      <c r="AQ64" s="1"/>
      <c r="AR64" s="1"/>
      <c r="AT64" s="1"/>
      <c r="AU64" s="1"/>
      <c r="AV64" s="1"/>
      <c r="AW64" s="1"/>
      <c r="AX64" s="1"/>
      <c r="AY64" s="1"/>
      <c r="BA64" s="1"/>
      <c r="BB64" s="1"/>
      <c r="BC64" s="1"/>
      <c r="BD64" s="1"/>
      <c r="BE64" s="1"/>
      <c r="BG64" s="1"/>
      <c r="BH64" s="1"/>
      <c r="BI64" s="1"/>
      <c r="BK64" s="1"/>
      <c r="BL64" s="1"/>
      <c r="BM64" s="1"/>
      <c r="BO64" s="1"/>
      <c r="BP64" s="1"/>
      <c r="BR64" s="1"/>
    </row>
    <row r="65" spans="1:70" x14ac:dyDescent="0.3">
      <c r="A65" t="s">
        <v>20</v>
      </c>
      <c r="R65" s="6" t="s">
        <v>6</v>
      </c>
      <c r="S65" s="1"/>
      <c r="T65" s="1"/>
      <c r="U65" s="1"/>
      <c r="V65" s="1"/>
      <c r="W65" s="1">
        <f>V16-$U$3-$AA$17*(1-BA6)</f>
        <v>-3.5527136788005009E-15</v>
      </c>
      <c r="X65" s="1">
        <f t="shared" ref="X65:AA65" si="58">W16-$U$3-$AA$17*(1-BB6)</f>
        <v>-58.149999999999991</v>
      </c>
      <c r="Y65" s="1">
        <f t="shared" si="58"/>
        <v>-55.589999999999989</v>
      </c>
      <c r="Z65" s="1">
        <f t="shared" si="58"/>
        <v>-54.699999999999989</v>
      </c>
      <c r="AA65" s="1">
        <f t="shared" si="58"/>
        <v>-49.919999999999987</v>
      </c>
      <c r="AD65" s="1"/>
      <c r="AE65" s="1"/>
      <c r="AF65" s="1"/>
      <c r="AG65" s="1"/>
      <c r="AH65" s="1"/>
      <c r="AI65" s="1"/>
      <c r="AJ65" s="1"/>
      <c r="AL65" s="1"/>
      <c r="AM65" s="1"/>
      <c r="AN65" s="1"/>
      <c r="AO65" s="1"/>
      <c r="AP65" s="1"/>
      <c r="AQ65" s="1"/>
      <c r="AR65" s="1"/>
      <c r="AT65" s="1"/>
      <c r="AU65" s="1"/>
      <c r="AV65" s="1"/>
      <c r="AW65" s="1"/>
      <c r="AX65" s="1"/>
      <c r="AY65" s="1"/>
      <c r="BA65" s="1"/>
      <c r="BB65" s="1"/>
      <c r="BC65" s="1"/>
      <c r="BD65" s="1"/>
      <c r="BE65" s="1"/>
      <c r="BG65" s="1"/>
      <c r="BH65" s="1"/>
      <c r="BI65" s="1"/>
      <c r="BK65" s="1"/>
      <c r="BL65" s="1"/>
      <c r="BM65" s="1"/>
      <c r="BO65" s="1"/>
      <c r="BP65" s="1"/>
      <c r="BR65" s="1"/>
    </row>
    <row r="66" spans="1:70" x14ac:dyDescent="0.3">
      <c r="A66" t="s">
        <v>23</v>
      </c>
      <c r="R66" s="6" t="s">
        <v>8</v>
      </c>
      <c r="S66" s="1"/>
      <c r="T66" s="1"/>
      <c r="U66" s="1"/>
      <c r="V66" s="1"/>
      <c r="W66" s="1"/>
      <c r="X66" s="1"/>
      <c r="Y66" s="1">
        <f>X16-$V$3-$AA$17*(1-BG6)</f>
        <v>-59.160000000000004</v>
      </c>
      <c r="Z66" s="1">
        <f t="shared" ref="Z66" si="59">Y16-$V$3-$AA$17*(1-BH6)</f>
        <v>-58.27</v>
      </c>
      <c r="AA66" s="1">
        <f>Z16-$V$3-$AA$17*(1-BI6)</f>
        <v>-53.490000000000009</v>
      </c>
      <c r="AD66" s="1"/>
      <c r="AE66" s="1"/>
      <c r="AF66" s="1"/>
      <c r="AG66" s="1"/>
      <c r="AH66" s="1"/>
      <c r="AI66" s="1"/>
      <c r="AJ66" s="1"/>
      <c r="AL66" s="1"/>
      <c r="AM66" s="1"/>
      <c r="AN66" s="1"/>
      <c r="AO66" s="1"/>
      <c r="AP66" s="1"/>
      <c r="AQ66" s="1"/>
      <c r="AR66" s="1"/>
      <c r="AT66" s="1"/>
      <c r="AU66" s="1"/>
      <c r="AV66" s="1"/>
      <c r="AW66" s="1"/>
      <c r="AX66" s="1"/>
      <c r="AY66" s="1"/>
      <c r="BA66" s="1"/>
      <c r="BB66" s="1"/>
      <c r="BC66" s="1"/>
      <c r="BD66" s="1"/>
      <c r="BE66" s="1"/>
      <c r="BG66" s="1"/>
      <c r="BH66" s="1"/>
      <c r="BI66" s="1"/>
      <c r="BK66" s="1"/>
      <c r="BL66" s="1"/>
      <c r="BM66" s="1"/>
      <c r="BO66" s="1"/>
      <c r="BP66" s="1"/>
      <c r="BR66" s="1"/>
    </row>
    <row r="67" spans="1:70" x14ac:dyDescent="0.3">
      <c r="A67" t="s">
        <v>24</v>
      </c>
      <c r="R67" s="6" t="s">
        <v>9</v>
      </c>
      <c r="S67" s="1"/>
      <c r="T67" s="1"/>
      <c r="U67" s="1"/>
      <c r="V67" s="1"/>
      <c r="W67" s="1"/>
      <c r="X67" s="1"/>
      <c r="Y67" s="1">
        <f>X16-$W$3-$AA$17*(1-BK6)</f>
        <v>-59.160000000000004</v>
      </c>
      <c r="Z67" s="1">
        <f t="shared" ref="Z67:AA67" si="60">Y16-$W$3-$AA$17*(1-BL6)</f>
        <v>-58.27</v>
      </c>
      <c r="AA67" s="1">
        <f t="shared" si="60"/>
        <v>-53.490000000000009</v>
      </c>
      <c r="AD67" s="1"/>
      <c r="AE67" s="1"/>
      <c r="AF67" s="1"/>
      <c r="AG67" s="1"/>
      <c r="AH67" s="1"/>
      <c r="AI67" s="1"/>
      <c r="AJ67" s="1"/>
      <c r="AL67" s="1"/>
      <c r="AM67" s="1"/>
      <c r="AN67" s="1"/>
      <c r="AO67" s="1"/>
      <c r="AP67" s="1"/>
      <c r="AQ67" s="1"/>
      <c r="AR67" s="1"/>
      <c r="AT67" s="1"/>
      <c r="AU67" s="1"/>
      <c r="AV67" s="1"/>
      <c r="AW67" s="1"/>
      <c r="AX67" s="1"/>
      <c r="AY67" s="1"/>
      <c r="BA67" s="1"/>
      <c r="BB67" s="1"/>
      <c r="BC67" s="1"/>
      <c r="BD67" s="1"/>
      <c r="BE67" s="1"/>
      <c r="BG67" s="1"/>
      <c r="BH67" s="1"/>
      <c r="BI67" s="1"/>
      <c r="BK67" s="1"/>
      <c r="BL67" s="1"/>
      <c r="BM67" s="1"/>
      <c r="BO67" s="1"/>
      <c r="BP67" s="1"/>
      <c r="BR67" s="1"/>
    </row>
    <row r="68" spans="1:70" x14ac:dyDescent="0.3">
      <c r="R68" s="6" t="s">
        <v>11</v>
      </c>
      <c r="S68" s="1"/>
      <c r="T68" s="1"/>
      <c r="U68" s="1"/>
      <c r="V68" s="1"/>
      <c r="W68" s="1"/>
      <c r="X68" s="1"/>
      <c r="Y68" s="1"/>
      <c r="Z68" s="1">
        <f>Y16-$X$3-$AA$17*(1-BO6)</f>
        <v>-0.20999999999999552</v>
      </c>
      <c r="AA68" s="1">
        <f>Z16-$X$3-$AA$17*(1-BP6)</f>
        <v>-57.03</v>
      </c>
      <c r="AD68" s="1"/>
      <c r="AE68" s="1"/>
      <c r="AF68" s="1"/>
      <c r="AG68" s="1"/>
      <c r="AH68" s="1"/>
      <c r="AI68" s="1"/>
      <c r="AJ68" s="1"/>
      <c r="AL68" s="1"/>
      <c r="AM68" s="1"/>
      <c r="AN68" s="1"/>
      <c r="AO68" s="1"/>
      <c r="AP68" s="1"/>
      <c r="AQ68" s="1"/>
      <c r="AR68" s="1"/>
      <c r="AT68" s="1"/>
      <c r="AU68" s="1"/>
      <c r="AV68" s="1"/>
      <c r="AW68" s="1"/>
      <c r="AX68" s="1"/>
      <c r="AY68" s="1"/>
      <c r="BA68" s="1"/>
      <c r="BB68" s="1"/>
      <c r="BC68" s="1"/>
      <c r="BD68" s="1"/>
      <c r="BE68" s="1"/>
      <c r="BG68" s="1"/>
      <c r="BH68" s="1"/>
      <c r="BI68" s="1"/>
      <c r="BK68" s="1"/>
      <c r="BL68" s="1"/>
      <c r="BM68" s="1"/>
      <c r="BO68" s="1"/>
      <c r="BP68" s="1"/>
      <c r="BR68" s="1"/>
    </row>
    <row r="69" spans="1:70" x14ac:dyDescent="0.3">
      <c r="R69" s="6" t="s">
        <v>13</v>
      </c>
      <c r="S69" s="1"/>
      <c r="T69" s="1"/>
      <c r="U69" s="1"/>
      <c r="V69" s="1"/>
      <c r="W69" s="1"/>
      <c r="X69" s="1"/>
      <c r="Y69" s="1"/>
      <c r="Z69" s="1"/>
      <c r="AA69" s="1">
        <f>Z16-$Y$3-$AA$17*(1-BR6)</f>
        <v>0</v>
      </c>
      <c r="AD69" s="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R69" s="1"/>
      <c r="AT69" s="1"/>
      <c r="AU69" s="1"/>
      <c r="AV69" s="1"/>
      <c r="AW69" s="1"/>
      <c r="AX69" s="1"/>
      <c r="AY69" s="1"/>
      <c r="BA69" s="1"/>
      <c r="BB69" s="1"/>
      <c r="BC69" s="1"/>
      <c r="BD69" s="1"/>
      <c r="BE69" s="1"/>
      <c r="BG69" s="1"/>
      <c r="BH69" s="1"/>
      <c r="BI69" s="1"/>
      <c r="BK69" s="1"/>
      <c r="BL69" s="1"/>
      <c r="BM69" s="1"/>
      <c r="BO69" s="1"/>
      <c r="BP69" s="1"/>
      <c r="BR69" s="1"/>
    </row>
    <row r="70" spans="1:70" x14ac:dyDescent="0.3">
      <c r="R70" s="6" t="s">
        <v>15</v>
      </c>
      <c r="S70" s="1"/>
      <c r="T70" s="1"/>
      <c r="U70" s="1"/>
      <c r="V70" s="1"/>
      <c r="W70" s="1"/>
      <c r="X70" s="1"/>
      <c r="Y70" s="1"/>
      <c r="Z70" s="1"/>
      <c r="AA70" s="1"/>
      <c r="AD70" s="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R70" s="1"/>
      <c r="AT70" s="1"/>
      <c r="AU70" s="1"/>
      <c r="AV70" s="1"/>
      <c r="AW70" s="1"/>
      <c r="AX70" s="1"/>
      <c r="AY70" s="1"/>
      <c r="BA70" s="1"/>
      <c r="BB70" s="1"/>
      <c r="BC70" s="1"/>
      <c r="BD70" s="1"/>
      <c r="BE70" s="1"/>
      <c r="BG70" s="1"/>
      <c r="BH70" s="1"/>
      <c r="BI70" s="1"/>
      <c r="BK70" s="1"/>
      <c r="BL70" s="1"/>
      <c r="BM70" s="1"/>
      <c r="BO70" s="1"/>
      <c r="BP70" s="1"/>
      <c r="BR70" s="1"/>
    </row>
    <row r="71" spans="1:70" x14ac:dyDescent="0.3">
      <c r="AD71" s="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R71" s="1"/>
      <c r="AT71" s="1"/>
      <c r="AU71" s="1"/>
      <c r="AV71" s="1"/>
      <c r="AW71" s="1"/>
      <c r="AX71" s="1"/>
      <c r="AY71" s="1"/>
      <c r="BA71" s="1"/>
      <c r="BB71" s="1"/>
      <c r="BC71" s="1"/>
      <c r="BD71" s="1"/>
      <c r="BE71" s="1"/>
      <c r="BG71" s="1"/>
      <c r="BH71" s="1"/>
      <c r="BI71" s="1"/>
      <c r="BK71" s="1"/>
      <c r="BL71" s="1"/>
      <c r="BM71" s="1"/>
      <c r="BO71" s="1"/>
      <c r="BP71" s="1"/>
      <c r="BR71" s="1"/>
    </row>
    <row r="72" spans="1:70" x14ac:dyDescent="0.3">
      <c r="AD72" s="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R72" s="1"/>
      <c r="AT72" s="1"/>
      <c r="AU72" s="1"/>
      <c r="AV72" s="1"/>
      <c r="AW72" s="1"/>
      <c r="AX72" s="1"/>
      <c r="AY72" s="1"/>
      <c r="BA72" s="1"/>
      <c r="BB72" s="1"/>
      <c r="BC72" s="1"/>
      <c r="BD72" s="1"/>
      <c r="BE72" s="1"/>
      <c r="BG72" s="1"/>
      <c r="BH72" s="1"/>
      <c r="BI72" s="1"/>
      <c r="BK72" s="1"/>
      <c r="BL72" s="1"/>
      <c r="BM72" s="1"/>
      <c r="BO72" s="1"/>
      <c r="BP72" s="1"/>
      <c r="BR72" s="1"/>
    </row>
    <row r="73" spans="1:70" x14ac:dyDescent="0.3">
      <c r="R73" t="s">
        <v>35</v>
      </c>
      <c r="AD73" s="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R73" s="1"/>
      <c r="AT73" s="1"/>
      <c r="AU73" s="1"/>
      <c r="AV73" s="1"/>
      <c r="AW73" s="1"/>
      <c r="AX73" s="1"/>
      <c r="AY73" s="1"/>
      <c r="BA73" s="1"/>
      <c r="BB73" s="1"/>
      <c r="BC73" s="1"/>
      <c r="BD73" s="1"/>
      <c r="BE73" s="1"/>
      <c r="BG73" s="1"/>
      <c r="BH73" s="1"/>
      <c r="BI73" s="1"/>
      <c r="BK73" s="1"/>
      <c r="BL73" s="1"/>
      <c r="BM73" s="1"/>
      <c r="BO73" s="1"/>
      <c r="BP73" s="1"/>
      <c r="BR73" s="1"/>
    </row>
    <row r="74" spans="1:70" x14ac:dyDescent="0.3">
      <c r="R74" s="1"/>
      <c r="S74" s="6" t="s">
        <v>1</v>
      </c>
      <c r="T74" s="6" t="s">
        <v>2</v>
      </c>
      <c r="U74" s="6" t="s">
        <v>4</v>
      </c>
      <c r="V74" s="6" t="s">
        <v>6</v>
      </c>
      <c r="W74" s="6" t="s">
        <v>8</v>
      </c>
      <c r="X74" s="6" t="s">
        <v>9</v>
      </c>
      <c r="Y74" s="6" t="s">
        <v>11</v>
      </c>
      <c r="Z74" s="6" t="s">
        <v>13</v>
      </c>
      <c r="AA74" s="6" t="s">
        <v>15</v>
      </c>
      <c r="AD74" s="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R74" s="1"/>
      <c r="AT74" s="1"/>
      <c r="AU74" s="1"/>
      <c r="AV74" s="1"/>
      <c r="AW74" s="1"/>
      <c r="AX74" s="1"/>
      <c r="AY74" s="1"/>
      <c r="BA74" s="1"/>
      <c r="BB74" s="1"/>
      <c r="BC74" s="1"/>
      <c r="BD74" s="1"/>
      <c r="BE74" s="1"/>
      <c r="BG74" s="1"/>
      <c r="BH74" s="1"/>
      <c r="BI74" s="1"/>
      <c r="BK74" s="1"/>
      <c r="BL74" s="1"/>
      <c r="BM74" s="1"/>
      <c r="BO74" s="1"/>
      <c r="BP74" s="1"/>
      <c r="BR74" s="1"/>
    </row>
    <row r="75" spans="1:70" x14ac:dyDescent="0.3">
      <c r="R75" s="6" t="s">
        <v>1</v>
      </c>
      <c r="S75" s="1"/>
      <c r="T75" s="1"/>
      <c r="U75" s="1">
        <f>T16-$R$4-$AA$17*(1-AD7)</f>
        <v>-4.4408920985006262E-15</v>
      </c>
      <c r="V75" s="1">
        <f t="shared" ref="V75:AA75" si="61">U16-$R$4-$AA$17*(1-AE7)</f>
        <v>-60.695000000000007</v>
      </c>
      <c r="W75" s="1">
        <f>V16-$R$4-$AA$17*(1-AF7)</f>
        <v>-57.475000000000016</v>
      </c>
      <c r="X75" s="1">
        <f t="shared" si="61"/>
        <v>-54.024999999999999</v>
      </c>
      <c r="Y75" s="1">
        <f t="shared" si="61"/>
        <v>-51.464999999999989</v>
      </c>
      <c r="Z75" s="1">
        <f t="shared" si="61"/>
        <v>-50.574999999999989</v>
      </c>
      <c r="AA75" s="1">
        <f t="shared" si="61"/>
        <v>-45.794999999999987</v>
      </c>
      <c r="AD75" s="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R75" s="1"/>
      <c r="AT75" s="1"/>
      <c r="AU75" s="1"/>
      <c r="AV75" s="1"/>
      <c r="AW75" s="1"/>
      <c r="AX75" s="1"/>
      <c r="AY75" s="1"/>
      <c r="BA75" s="1"/>
      <c r="BB75" s="1"/>
      <c r="BC75" s="1"/>
      <c r="BD75" s="1"/>
      <c r="BE75" s="1"/>
      <c r="BG75" s="1"/>
      <c r="BH75" s="1"/>
      <c r="BI75" s="1"/>
      <c r="BK75" s="1"/>
      <c r="BL75" s="1"/>
      <c r="BM75" s="1"/>
      <c r="BO75" s="1"/>
      <c r="BP75" s="1"/>
      <c r="BR75" s="1"/>
    </row>
    <row r="76" spans="1:70" x14ac:dyDescent="0.3">
      <c r="R76" s="6" t="s">
        <v>2</v>
      </c>
      <c r="S76" s="1"/>
      <c r="T76" s="1"/>
      <c r="U76" s="1">
        <f>T16-$S$4-$AA$17*(1-AL7)</f>
        <v>-1.4600000000000088</v>
      </c>
      <c r="V76" s="1">
        <f t="shared" ref="V76:AA76" si="62">U16-$S$4-$AA$17*(1-AM7)</f>
        <v>-0.55500000000000416</v>
      </c>
      <c r="W76" s="1">
        <f t="shared" si="62"/>
        <v>-58.935000000000016</v>
      </c>
      <c r="X76" s="1">
        <f>W16-$S$4-$AA$17*(1-AO7)</f>
        <v>-55.484999999999999</v>
      </c>
      <c r="Y76" s="1">
        <f t="shared" si="62"/>
        <v>-52.924999999999997</v>
      </c>
      <c r="Z76" s="1">
        <f t="shared" si="62"/>
        <v>-52.034999999999997</v>
      </c>
      <c r="AA76" s="1">
        <f t="shared" si="62"/>
        <v>-47.254999999999995</v>
      </c>
      <c r="AD76" s="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R76" s="1"/>
      <c r="AT76" s="1"/>
      <c r="AU76" s="1"/>
      <c r="AV76" s="1"/>
      <c r="AW76" s="1"/>
      <c r="AX76" s="1"/>
      <c r="AY76" s="1"/>
      <c r="BA76" s="1"/>
      <c r="BB76" s="1"/>
      <c r="BC76" s="1"/>
      <c r="BD76" s="1"/>
      <c r="BE76" s="1"/>
      <c r="BG76" s="1"/>
      <c r="BH76" s="1"/>
      <c r="BI76" s="1"/>
      <c r="BK76" s="1"/>
      <c r="BL76" s="1"/>
      <c r="BM76" s="1"/>
      <c r="BO76" s="1"/>
      <c r="BP76" s="1"/>
      <c r="BR76" s="1"/>
    </row>
    <row r="77" spans="1:70" x14ac:dyDescent="0.3">
      <c r="R77" s="6" t="s">
        <v>4</v>
      </c>
      <c r="S77" s="1"/>
      <c r="T77" s="1"/>
      <c r="U77" s="1"/>
      <c r="V77" s="1">
        <f>U16-$T$4-$AA$17*(1-AT7)</f>
        <v>-3.3400000000000007</v>
      </c>
      <c r="W77" s="1">
        <f t="shared" ref="W77:AA77" si="63">V16-$T$4-$AA$17*(1-AU7)</f>
        <v>-0.1200000000000081</v>
      </c>
      <c r="X77" s="1">
        <f t="shared" si="63"/>
        <v>-58.269999999999996</v>
      </c>
      <c r="Y77" s="1">
        <f t="shared" si="63"/>
        <v>-55.709999999999994</v>
      </c>
      <c r="Z77" s="1">
        <f t="shared" si="63"/>
        <v>-54.819999999999993</v>
      </c>
      <c r="AA77" s="1">
        <f t="shared" si="63"/>
        <v>-50.039999999999992</v>
      </c>
      <c r="AD77" s="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R77" s="1"/>
      <c r="AT77" s="1"/>
      <c r="AU77" s="1"/>
      <c r="AV77" s="1"/>
      <c r="AW77" s="1"/>
      <c r="AX77" s="1"/>
      <c r="AY77" s="1"/>
      <c r="BA77" s="1"/>
      <c r="BB77" s="1"/>
      <c r="BC77" s="1"/>
      <c r="BD77" s="1"/>
      <c r="BE77" s="1"/>
      <c r="BG77" s="1"/>
      <c r="BH77" s="1"/>
      <c r="BI77" s="1"/>
      <c r="BK77" s="1"/>
      <c r="BL77" s="1"/>
      <c r="BM77" s="1"/>
      <c r="BO77" s="1"/>
      <c r="BP77" s="1"/>
      <c r="BR77" s="1"/>
    </row>
    <row r="78" spans="1:70" x14ac:dyDescent="0.3">
      <c r="R78" s="6" t="s">
        <v>6</v>
      </c>
      <c r="S78" s="1"/>
      <c r="T78" s="1"/>
      <c r="U78" s="1"/>
      <c r="V78" s="1"/>
      <c r="W78" s="1">
        <f>V16-$U$4-$AA$17*(1-BA7)</f>
        <v>-3.4500000000000171</v>
      </c>
      <c r="X78" s="1">
        <f t="shared" ref="X78:AA78" si="64">W16-$U$4-$AA$17*(1-BB7)</f>
        <v>0</v>
      </c>
      <c r="Y78" s="1">
        <f t="shared" si="64"/>
        <v>-59.04</v>
      </c>
      <c r="Z78" s="1">
        <f t="shared" si="64"/>
        <v>-58.15</v>
      </c>
      <c r="AA78" s="1">
        <f t="shared" si="64"/>
        <v>-53.370000000000005</v>
      </c>
      <c r="AD78" s="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R78" s="1"/>
      <c r="AT78" s="1"/>
      <c r="AU78" s="1"/>
      <c r="AV78" s="1"/>
      <c r="AW78" s="1"/>
      <c r="AX78" s="1"/>
      <c r="AY78" s="1"/>
      <c r="BA78" s="1"/>
      <c r="BB78" s="1"/>
      <c r="BC78" s="1"/>
      <c r="BD78" s="1"/>
      <c r="BE78" s="1"/>
      <c r="BG78" s="1"/>
      <c r="BH78" s="1"/>
      <c r="BI78" s="1"/>
      <c r="BK78" s="1"/>
      <c r="BL78" s="1"/>
      <c r="BM78" s="1"/>
      <c r="BO78" s="1"/>
      <c r="BP78" s="1"/>
      <c r="BR78" s="1"/>
    </row>
    <row r="79" spans="1:70" x14ac:dyDescent="0.3">
      <c r="R79" s="6" t="s">
        <v>8</v>
      </c>
      <c r="S79" s="1"/>
      <c r="T79" s="1"/>
      <c r="U79" s="1"/>
      <c r="V79" s="1"/>
      <c r="W79" s="1"/>
      <c r="X79" s="1"/>
      <c r="Y79" s="1">
        <f>X16-$V$4-$AA$17*(1-BG7)</f>
        <v>-1.2200000000000006</v>
      </c>
      <c r="Z79" s="1">
        <f t="shared" ref="Z79:AA79" si="65">Y16-$V$4-$AA$17*(1-BH7)</f>
        <v>-0.33000000000000007</v>
      </c>
      <c r="AA79" s="1">
        <f t="shared" si="65"/>
        <v>-57.150000000000006</v>
      </c>
      <c r="AD79" s="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R79" s="1"/>
      <c r="AT79" s="1"/>
      <c r="AU79" s="1"/>
      <c r="AV79" s="1"/>
      <c r="AW79" s="1"/>
      <c r="AX79" s="1"/>
      <c r="AY79" s="1"/>
      <c r="BA79" s="1"/>
      <c r="BB79" s="1"/>
      <c r="BC79" s="1"/>
      <c r="BD79" s="1"/>
      <c r="BE79" s="1"/>
      <c r="BG79" s="1"/>
      <c r="BH79" s="1"/>
      <c r="BI79" s="1"/>
      <c r="BK79" s="1"/>
      <c r="BL79" s="1"/>
      <c r="BM79" s="1"/>
      <c r="BO79" s="1"/>
      <c r="BP79" s="1"/>
      <c r="BR79" s="1"/>
    </row>
    <row r="80" spans="1:70" x14ac:dyDescent="0.3">
      <c r="R80" s="6" t="s">
        <v>9</v>
      </c>
      <c r="S80" s="1"/>
      <c r="T80" s="1"/>
      <c r="U80" s="1"/>
      <c r="V80" s="1"/>
      <c r="W80" s="1"/>
      <c r="X80" s="1"/>
      <c r="Y80" s="1">
        <f>X16-$W$4-$AA$17*(1-BK7)</f>
        <v>-1.2200000000000006</v>
      </c>
      <c r="Z80" s="1">
        <f t="shared" ref="Z80:AA80" si="66">Y16-$W$4-$AA$17*(1-BL7)</f>
        <v>-0.33000000000000007</v>
      </c>
      <c r="AA80" s="1">
        <f t="shared" si="66"/>
        <v>-57.150000000000006</v>
      </c>
      <c r="AD80" s="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R80" s="1"/>
      <c r="AT80" s="1"/>
      <c r="AU80" s="1"/>
      <c r="AV80" s="1"/>
      <c r="AW80" s="1"/>
      <c r="AX80" s="1"/>
      <c r="AY80" s="1"/>
      <c r="BA80" s="1"/>
      <c r="BB80" s="1"/>
      <c r="BC80" s="1"/>
      <c r="BD80" s="1"/>
      <c r="BE80" s="1"/>
      <c r="BG80" s="1"/>
      <c r="BH80" s="1"/>
      <c r="BI80" s="1"/>
      <c r="BK80" s="1"/>
      <c r="BL80" s="1"/>
      <c r="BM80" s="1"/>
      <c r="BO80" s="1"/>
      <c r="BP80" s="1"/>
      <c r="BR80" s="1"/>
    </row>
    <row r="81" spans="2:70" x14ac:dyDescent="0.3">
      <c r="R81" s="6" t="s">
        <v>11</v>
      </c>
      <c r="S81" s="1"/>
      <c r="T81" s="1"/>
      <c r="U81" s="1"/>
      <c r="V81" s="1"/>
      <c r="W81" s="1"/>
      <c r="X81" s="1"/>
      <c r="Y81" s="1"/>
      <c r="Z81" s="1">
        <f>Y16-$X$4-$AA$17*(1-BO7)</f>
        <v>-4.9000000000000039</v>
      </c>
      <c r="AA81" s="1">
        <f>Z16-$X$4-$AA$17*(1-BP7)</f>
        <v>-0.12000000000000455</v>
      </c>
      <c r="AD81" s="1"/>
      <c r="AE81" s="1"/>
      <c r="AF81" s="1"/>
      <c r="AG81" s="1"/>
      <c r="AH81" s="1"/>
      <c r="AI81" s="1"/>
      <c r="AJ81" s="1"/>
      <c r="AL81" s="1"/>
      <c r="AM81" s="1"/>
      <c r="AN81" s="1"/>
      <c r="AO81" s="1"/>
      <c r="AP81" s="1"/>
      <c r="AQ81" s="1"/>
      <c r="AR81" s="1"/>
      <c r="AT81" s="1"/>
      <c r="AU81" s="1"/>
      <c r="AV81" s="1"/>
      <c r="AW81" s="1"/>
      <c r="AX81" s="1"/>
      <c r="AY81" s="1"/>
      <c r="BA81" s="1"/>
      <c r="BB81" s="1"/>
      <c r="BC81" s="1"/>
      <c r="BD81" s="1"/>
      <c r="BE81" s="1"/>
      <c r="BG81" s="1"/>
      <c r="BH81" s="1"/>
      <c r="BI81" s="1"/>
      <c r="BK81" s="1"/>
      <c r="BL81" s="1"/>
      <c r="BM81" s="1"/>
      <c r="BO81" s="1"/>
      <c r="BP81" s="1"/>
      <c r="BR81" s="1"/>
    </row>
    <row r="82" spans="2:70" x14ac:dyDescent="0.3">
      <c r="R82" s="6" t="s">
        <v>13</v>
      </c>
      <c r="S82" s="1"/>
      <c r="T82" s="1"/>
      <c r="U82" s="1"/>
      <c r="V82" s="1"/>
      <c r="W82" s="1"/>
      <c r="X82" s="1"/>
      <c r="Y82" s="1"/>
      <c r="Z82" s="1"/>
      <c r="AA82" s="1">
        <f>Z16-$Y$4-$AA$17*(1-BR7)</f>
        <v>-2.4400000000000119</v>
      </c>
      <c r="AD82" s="1"/>
      <c r="AE82" s="1"/>
      <c r="AF82" s="1"/>
      <c r="AG82" s="1"/>
      <c r="AH82" s="1"/>
      <c r="AI82" s="1"/>
      <c r="AJ82" s="1"/>
      <c r="AL82" s="1"/>
      <c r="AM82" s="1"/>
      <c r="AN82" s="1"/>
      <c r="AO82" s="1"/>
      <c r="AP82" s="1"/>
      <c r="AQ82" s="1"/>
      <c r="AR82" s="1"/>
      <c r="AT82" s="1"/>
      <c r="AU82" s="1"/>
      <c r="AV82" s="1"/>
      <c r="AW82" s="1"/>
      <c r="AX82" s="1"/>
      <c r="AY82" s="1"/>
      <c r="BA82" s="1"/>
      <c r="BB82" s="1"/>
      <c r="BC82" s="1"/>
      <c r="BD82" s="1"/>
      <c r="BE82" s="1"/>
      <c r="BG82" s="1"/>
      <c r="BH82" s="1"/>
      <c r="BI82" s="1"/>
      <c r="BK82" s="1"/>
      <c r="BL82" s="1"/>
      <c r="BM82" s="1"/>
      <c r="BO82" s="1"/>
      <c r="BP82" s="1"/>
      <c r="BR82" s="1"/>
    </row>
    <row r="83" spans="2:70" x14ac:dyDescent="0.3">
      <c r="R83" s="6" t="s">
        <v>15</v>
      </c>
      <c r="S83" s="1"/>
      <c r="T83" s="1"/>
      <c r="U83" s="1"/>
      <c r="V83" s="1"/>
      <c r="W83" s="1"/>
      <c r="X83" s="1"/>
      <c r="Y83" s="1"/>
      <c r="Z83" s="1"/>
      <c r="AA83" s="1"/>
      <c r="AD83" s="1"/>
      <c r="AE83" s="1"/>
      <c r="AF83" s="1"/>
      <c r="AG83" s="1"/>
      <c r="AH83" s="1"/>
      <c r="AI83" s="1"/>
      <c r="AJ83" s="1"/>
      <c r="AL83" s="1"/>
      <c r="AM83" s="1"/>
      <c r="AN83" s="1"/>
      <c r="AO83" s="1"/>
      <c r="AP83" s="1"/>
      <c r="AQ83" s="1"/>
      <c r="AR83" s="1"/>
      <c r="AT83" s="1"/>
      <c r="AU83" s="1"/>
      <c r="AV83" s="1"/>
      <c r="AW83" s="1"/>
      <c r="AX83" s="1"/>
      <c r="AY83" s="1"/>
      <c r="BA83" s="1"/>
      <c r="BB83" s="1"/>
      <c r="BC83" s="1"/>
      <c r="BD83" s="1"/>
      <c r="BE83" s="1"/>
      <c r="BG83" s="1"/>
      <c r="BH83" s="1"/>
      <c r="BI83" s="1"/>
      <c r="BK83" s="1"/>
      <c r="BL83" s="1"/>
      <c r="BM83" s="1"/>
      <c r="BO83" s="1"/>
      <c r="BP83" s="1"/>
      <c r="BR83" s="1"/>
    </row>
    <row r="84" spans="2:70" x14ac:dyDescent="0.3">
      <c r="AD84" s="1"/>
      <c r="AE84" s="1"/>
      <c r="AF84" s="1"/>
      <c r="AG84" s="1"/>
      <c r="AH84" s="1"/>
      <c r="AI84" s="1"/>
      <c r="AJ84" s="1"/>
      <c r="AL84" s="1"/>
      <c r="AM84" s="1"/>
      <c r="AN84" s="1"/>
      <c r="AO84" s="1"/>
      <c r="AP84" s="1"/>
      <c r="AQ84" s="1"/>
      <c r="AR84" s="1"/>
      <c r="AT84" s="1"/>
      <c r="AU84" s="1"/>
      <c r="AV84" s="1"/>
      <c r="AW84" s="1"/>
      <c r="AX84" s="1"/>
      <c r="AY84" s="1"/>
      <c r="BA84" s="1"/>
      <c r="BB84" s="1"/>
      <c r="BC84" s="1"/>
      <c r="BD84" s="1"/>
      <c r="BE84" s="1"/>
      <c r="BG84" s="1"/>
      <c r="BH84" s="1"/>
      <c r="BI84" s="1"/>
      <c r="BK84" s="1"/>
      <c r="BL84" s="1"/>
      <c r="BM84" s="1"/>
      <c r="BO84" s="1"/>
      <c r="BP84" s="1"/>
      <c r="BR84" s="1"/>
    </row>
    <row r="85" spans="2:70" x14ac:dyDescent="0.3">
      <c r="R85" s="1" t="s">
        <v>34</v>
      </c>
      <c r="S85" s="6" t="s">
        <v>1</v>
      </c>
      <c r="T85" s="6" t="s">
        <v>2</v>
      </c>
      <c r="U85" s="6" t="s">
        <v>4</v>
      </c>
      <c r="V85" s="6" t="s">
        <v>6</v>
      </c>
      <c r="W85" s="6" t="s">
        <v>8</v>
      </c>
      <c r="X85" s="6" t="s">
        <v>9</v>
      </c>
      <c r="Y85" s="6" t="s">
        <v>11</v>
      </c>
      <c r="Z85" s="6" t="s">
        <v>13</v>
      </c>
      <c r="AA85" s="6" t="s">
        <v>15</v>
      </c>
      <c r="AD85" s="1"/>
      <c r="AE85" s="1"/>
      <c r="AF85" s="1"/>
      <c r="AG85" s="1"/>
      <c r="AH85" s="1"/>
      <c r="AI85" s="1"/>
      <c r="AJ85" s="1"/>
      <c r="AL85" s="1"/>
      <c r="AM85" s="1"/>
      <c r="AN85" s="1"/>
      <c r="AO85" s="1"/>
      <c r="AP85" s="1"/>
      <c r="AQ85" s="1"/>
      <c r="AR85" s="1"/>
      <c r="AT85" s="1"/>
      <c r="AU85" s="1"/>
      <c r="AV85" s="1"/>
      <c r="AW85" s="1"/>
      <c r="AX85" s="1"/>
      <c r="AY85" s="1"/>
      <c r="BA85" s="1"/>
      <c r="BB85" s="1"/>
      <c r="BC85" s="1"/>
      <c r="BD85" s="1"/>
      <c r="BE85" s="1"/>
      <c r="BG85" s="1"/>
      <c r="BH85" s="1"/>
      <c r="BI85" s="1"/>
      <c r="BK85" s="1"/>
      <c r="BL85" s="1"/>
      <c r="BM85" s="1"/>
      <c r="BO85" s="1"/>
      <c r="BP85" s="1"/>
      <c r="BR85" s="1"/>
    </row>
    <row r="86" spans="2:70" x14ac:dyDescent="0.3">
      <c r="R86" s="6" t="s">
        <v>1</v>
      </c>
      <c r="S86" s="1"/>
      <c r="T86" s="1"/>
      <c r="U86" s="1">
        <f>T17-$R$4-$AA$17*(1-AD8)</f>
        <v>-60.140000000000008</v>
      </c>
      <c r="V86" s="1">
        <f t="shared" ref="V86:AA86" si="67">U17-$R$4-$AA$17*(1-AE8)</f>
        <v>-57.355000000000011</v>
      </c>
      <c r="W86" s="1">
        <f t="shared" si="67"/>
        <v>-53.904999999999994</v>
      </c>
      <c r="X86" s="1">
        <f t="shared" si="67"/>
        <v>-51.704999999999998</v>
      </c>
      <c r="Y86" s="1">
        <f t="shared" si="67"/>
        <v>-50.244999999999997</v>
      </c>
      <c r="Z86" s="1">
        <f t="shared" si="67"/>
        <v>-45.67499999999999</v>
      </c>
      <c r="AA86" s="1">
        <f t="shared" si="67"/>
        <v>-40.984999999999971</v>
      </c>
      <c r="AD86" s="1"/>
      <c r="AE86" s="1"/>
      <c r="AF86" s="1"/>
      <c r="AG86" s="1"/>
      <c r="AH86" s="1"/>
      <c r="AI86" s="1"/>
      <c r="AJ86" s="1"/>
      <c r="AL86" s="1"/>
      <c r="AM86" s="1"/>
      <c r="AN86" s="1"/>
      <c r="AO86" s="1"/>
      <c r="AP86" s="1"/>
      <c r="AQ86" s="1"/>
      <c r="AR86" s="1"/>
      <c r="AT86" s="1"/>
      <c r="AU86" s="1"/>
      <c r="AV86" s="1"/>
      <c r="AW86" s="1"/>
      <c r="AX86" s="1"/>
      <c r="AY86" s="1"/>
      <c r="BA86" s="1"/>
      <c r="BB86" s="1"/>
      <c r="BC86" s="1"/>
      <c r="BD86" s="1"/>
      <c r="BE86" s="1"/>
      <c r="BG86" s="1"/>
      <c r="BH86" s="1"/>
      <c r="BI86" s="1"/>
      <c r="BK86" s="1"/>
      <c r="BL86" s="1"/>
      <c r="BM86" s="1"/>
      <c r="BO86" s="1"/>
      <c r="BP86" s="1"/>
      <c r="BR86" s="1"/>
    </row>
    <row r="87" spans="2:70" x14ac:dyDescent="0.3">
      <c r="R87" s="6" t="s">
        <v>2</v>
      </c>
      <c r="S87" s="1"/>
      <c r="T87" s="1"/>
      <c r="U87" s="1">
        <f>T17-$S$4-$AA$17*(1-AL8)</f>
        <v>-4.4408920985006262E-15</v>
      </c>
      <c r="V87" s="1">
        <f t="shared" ref="V87:AA87" si="68">U17-$S$4-$AA$17*(1-AM8)</f>
        <v>-58.815000000000019</v>
      </c>
      <c r="W87" s="1">
        <f t="shared" si="68"/>
        <v>-55.364999999999995</v>
      </c>
      <c r="X87" s="1">
        <f t="shared" si="68"/>
        <v>-53.164999999999999</v>
      </c>
      <c r="Y87" s="1">
        <f t="shared" si="68"/>
        <v>-51.704999999999998</v>
      </c>
      <c r="Z87" s="1">
        <f t="shared" si="68"/>
        <v>-47.134999999999991</v>
      </c>
      <c r="AA87" s="1">
        <f t="shared" si="68"/>
        <v>-42.444999999999979</v>
      </c>
      <c r="AD87" s="1"/>
      <c r="AE87" s="1"/>
      <c r="AF87" s="1"/>
      <c r="AG87" s="1"/>
      <c r="AH87" s="1"/>
      <c r="AI87" s="1"/>
      <c r="AJ87" s="1"/>
      <c r="AL87" s="1"/>
      <c r="AM87" s="1"/>
      <c r="AN87" s="1"/>
      <c r="AO87" s="1"/>
      <c r="AP87" s="1"/>
      <c r="AQ87" s="1"/>
      <c r="AR87" s="1"/>
      <c r="AT87" s="1"/>
      <c r="AU87" s="1"/>
      <c r="AV87" s="1"/>
      <c r="AW87" s="1"/>
      <c r="AX87" s="1"/>
      <c r="AY87" s="1"/>
      <c r="BA87" s="1"/>
      <c r="BB87" s="1"/>
      <c r="BC87" s="1"/>
      <c r="BD87" s="1"/>
      <c r="BE87" s="1"/>
      <c r="BG87" s="1"/>
      <c r="BH87" s="1"/>
      <c r="BI87" s="1"/>
      <c r="BK87" s="1"/>
      <c r="BL87" s="1"/>
      <c r="BM87" s="1"/>
      <c r="BO87" s="1"/>
      <c r="BP87" s="1"/>
      <c r="BR87" s="1"/>
    </row>
    <row r="88" spans="2:70" x14ac:dyDescent="0.3">
      <c r="R88" s="6" t="s">
        <v>4</v>
      </c>
      <c r="S88" s="1"/>
      <c r="T88" s="1"/>
      <c r="U88" s="1"/>
      <c r="V88" s="1">
        <f>U17-$T$4-$AA$17*(1-AT8)</f>
        <v>-5.3290705182007514E-15</v>
      </c>
      <c r="W88" s="1">
        <f t="shared" ref="W88:AA88" si="69">V17-$T$4-$AA$17*(1-AU8)</f>
        <v>-58.149999999999991</v>
      </c>
      <c r="X88" s="1">
        <f t="shared" si="69"/>
        <v>-55.949999999999996</v>
      </c>
      <c r="Y88" s="1">
        <f t="shared" si="69"/>
        <v>-54.489999999999995</v>
      </c>
      <c r="Z88" s="1">
        <f t="shared" si="69"/>
        <v>-49.919999999999987</v>
      </c>
      <c r="AA88" s="1">
        <f t="shared" si="69"/>
        <v>-45.229999999999976</v>
      </c>
      <c r="AD88" s="1"/>
      <c r="AE88" s="1"/>
      <c r="AF88" s="1"/>
      <c r="AG88" s="1"/>
      <c r="AH88" s="1"/>
      <c r="AI88" s="1"/>
      <c r="AJ88" s="1"/>
      <c r="AL88" s="1"/>
      <c r="AM88" s="1"/>
      <c r="AN88" s="1"/>
      <c r="AO88" s="1"/>
      <c r="AP88" s="1"/>
      <c r="AQ88" s="1"/>
      <c r="AR88" s="1"/>
      <c r="AT88" s="1"/>
      <c r="AU88" s="1"/>
      <c r="AV88" s="1"/>
      <c r="AW88" s="1"/>
      <c r="AX88" s="1"/>
      <c r="AY88" s="1"/>
      <c r="BA88" s="1"/>
      <c r="BB88" s="1"/>
      <c r="BC88" s="1"/>
      <c r="BD88" s="1"/>
      <c r="BE88" s="1"/>
      <c r="BG88" s="1"/>
      <c r="BH88" s="1"/>
      <c r="BI88" s="1"/>
      <c r="BK88" s="1"/>
      <c r="BL88" s="1"/>
      <c r="BM88" s="1"/>
      <c r="BO88" s="1"/>
      <c r="BP88" s="1"/>
      <c r="BR88" s="1"/>
    </row>
    <row r="89" spans="2:70" x14ac:dyDescent="0.3">
      <c r="B89" s="1" t="s">
        <v>34</v>
      </c>
      <c r="C89" s="6" t="s">
        <v>1</v>
      </c>
      <c r="D89" s="6" t="s">
        <v>2</v>
      </c>
      <c r="E89" s="6" t="s">
        <v>4</v>
      </c>
      <c r="F89" s="6" t="s">
        <v>6</v>
      </c>
      <c r="G89" s="6" t="s">
        <v>8</v>
      </c>
      <c r="H89" s="6" t="s">
        <v>9</v>
      </c>
      <c r="I89" s="6" t="s">
        <v>11</v>
      </c>
      <c r="J89" s="6" t="s">
        <v>13</v>
      </c>
      <c r="K89" s="6" t="s">
        <v>15</v>
      </c>
      <c r="R89" s="6" t="s">
        <v>6</v>
      </c>
      <c r="S89" s="1"/>
      <c r="T89" s="1"/>
      <c r="U89" s="1"/>
      <c r="V89" s="1"/>
      <c r="W89" s="1">
        <f>V17-$U$4-$AA$17*(1-BA8)</f>
        <v>-61.480000000000004</v>
      </c>
      <c r="X89" s="1">
        <f t="shared" ref="X89:AA89" si="70">W17-$U$4-$AA$17*(1-BB8)</f>
        <v>-59.28</v>
      </c>
      <c r="Y89" s="1">
        <f t="shared" si="70"/>
        <v>-57.820000000000007</v>
      </c>
      <c r="Z89" s="1">
        <f t="shared" si="70"/>
        <v>-53.25</v>
      </c>
      <c r="AA89" s="1">
        <f t="shared" si="70"/>
        <v>-48.559999999999988</v>
      </c>
      <c r="AD89" s="1"/>
      <c r="AE89" s="1"/>
      <c r="AF89" s="1"/>
      <c r="AG89" s="1"/>
      <c r="AH89" s="1"/>
      <c r="AI89" s="1"/>
      <c r="AJ89" s="1"/>
      <c r="AL89" s="1"/>
      <c r="AM89" s="1"/>
      <c r="AN89" s="1"/>
      <c r="AO89" s="1"/>
      <c r="AP89" s="1"/>
      <c r="AQ89" s="1"/>
      <c r="AR89" s="1"/>
      <c r="AT89" s="1"/>
      <c r="AU89" s="1"/>
      <c r="AV89" s="1"/>
      <c r="AW89" s="1"/>
      <c r="AX89" s="1"/>
      <c r="AY89" s="1"/>
      <c r="BA89" s="1"/>
      <c r="BB89" s="1"/>
      <c r="BC89" s="1"/>
      <c r="BD89" s="1"/>
      <c r="BE89" s="1"/>
      <c r="BG89" s="1"/>
      <c r="BH89" s="1"/>
      <c r="BI89" s="1"/>
      <c r="BK89" s="1"/>
      <c r="BL89" s="1"/>
      <c r="BM89" s="1"/>
      <c r="BO89" s="1"/>
      <c r="BP89" s="1"/>
      <c r="BR89" s="1"/>
    </row>
    <row r="90" spans="2:70" x14ac:dyDescent="0.3">
      <c r="B90" s="6" t="s">
        <v>1</v>
      </c>
      <c r="C90" s="1"/>
      <c r="D90" s="1"/>
      <c r="E90" s="18">
        <f>SUM(AD3,AD4,AD5,AD6,AD7,AD8,AD9,AD10,AD11,AD12,AD13,AD14)</f>
        <v>6</v>
      </c>
      <c r="F90" s="18">
        <f t="shared" ref="F90:K90" si="71">SUM(AE3,AE4,AE5,AE6,AE7,AE8,AE9,AE10,AE11,AE12,AE13,AE14)</f>
        <v>6</v>
      </c>
      <c r="G90" s="18">
        <f t="shared" si="71"/>
        <v>6</v>
      </c>
      <c r="H90" s="18">
        <f t="shared" si="71"/>
        <v>6</v>
      </c>
      <c r="I90" s="18">
        <f t="shared" si="71"/>
        <v>6</v>
      </c>
      <c r="J90" s="18">
        <f t="shared" si="71"/>
        <v>6</v>
      </c>
      <c r="K90" s="18">
        <f t="shared" si="71"/>
        <v>6</v>
      </c>
      <c r="R90" s="6" t="s">
        <v>8</v>
      </c>
      <c r="S90" s="1"/>
      <c r="T90" s="1"/>
      <c r="U90" s="1"/>
      <c r="V90" s="1"/>
      <c r="W90" s="1"/>
      <c r="X90" s="1"/>
      <c r="Y90" s="1">
        <f>X17-$V$4-$AA$17*(1-BG8)</f>
        <v>-5.3290705182007514E-15</v>
      </c>
      <c r="Z90" s="1">
        <f>Y17-$V$4-$AA$17*(1-BH8)</f>
        <v>-57.030000000000008</v>
      </c>
      <c r="AA90" s="1">
        <f>Z17-$V$4-$AA$17*(1-BI8)</f>
        <v>-52.339999999999989</v>
      </c>
      <c r="AD90" s="1"/>
      <c r="AE90" s="1"/>
      <c r="AF90" s="1"/>
      <c r="AG90" s="1"/>
      <c r="AH90" s="1"/>
      <c r="AI90" s="1"/>
      <c r="AJ90" s="1"/>
      <c r="AL90" s="1"/>
      <c r="AM90" s="1"/>
      <c r="AN90" s="1"/>
      <c r="AO90" s="1"/>
      <c r="AP90" s="1"/>
      <c r="AQ90" s="1"/>
      <c r="AR90" s="1"/>
      <c r="AT90" s="1"/>
      <c r="AU90" s="1"/>
      <c r="AV90" s="1"/>
      <c r="AW90" s="1"/>
      <c r="AX90" s="1"/>
      <c r="AY90" s="1"/>
      <c r="BA90" s="1"/>
      <c r="BB90" s="1"/>
      <c r="BC90" s="1"/>
      <c r="BD90" s="1"/>
      <c r="BE90" s="1"/>
      <c r="BG90" s="1"/>
      <c r="BH90" s="1"/>
      <c r="BI90" s="1"/>
      <c r="BK90" s="1"/>
      <c r="BL90" s="1"/>
      <c r="BM90" s="1"/>
      <c r="BO90" s="1"/>
      <c r="BP90" s="1"/>
      <c r="BR90" s="1"/>
    </row>
    <row r="91" spans="2:70" x14ac:dyDescent="0.3">
      <c r="B91" s="6" t="s">
        <v>2</v>
      </c>
      <c r="C91" s="1"/>
      <c r="D91" s="1"/>
      <c r="E91" s="18">
        <f>SUM(AL3,AL4,AL5,AL6,AL7,AL8:AL14)</f>
        <v>6</v>
      </c>
      <c r="F91" s="18">
        <f t="shared" ref="F91:K91" si="72">SUM(AM3,AM4,AM5,AM6,AM7,AM8:AM14)</f>
        <v>6</v>
      </c>
      <c r="G91" s="18">
        <f t="shared" si="72"/>
        <v>6</v>
      </c>
      <c r="H91" s="18">
        <f t="shared" si="72"/>
        <v>6</v>
      </c>
      <c r="I91" s="18">
        <f t="shared" si="72"/>
        <v>6</v>
      </c>
      <c r="J91" s="18">
        <f t="shared" si="72"/>
        <v>6</v>
      </c>
      <c r="K91" s="18">
        <f t="shared" si="72"/>
        <v>6</v>
      </c>
      <c r="R91" s="6" t="s">
        <v>9</v>
      </c>
      <c r="S91" s="1"/>
      <c r="T91" s="1"/>
      <c r="U91" s="1"/>
      <c r="V91" s="1"/>
      <c r="W91" s="1"/>
      <c r="X91" s="1"/>
      <c r="Y91" s="1">
        <f>X17-$W$4-$AA$17*(1-BK8)</f>
        <v>-5.3290705182007514E-15</v>
      </c>
      <c r="Z91" s="1">
        <f>Y17-$W$4-$AA$17*(1-BL8)</f>
        <v>-57.030000000000008</v>
      </c>
      <c r="AA91" s="1">
        <f>Z17-$W$4-$AA$17*(1-BM8)</f>
        <v>-52.339999999999989</v>
      </c>
      <c r="AD91" s="1"/>
      <c r="AE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T91" s="1"/>
      <c r="AU91" s="1"/>
      <c r="AV91" s="1"/>
      <c r="AW91" s="1"/>
      <c r="AX91" s="1"/>
      <c r="AY91" s="1"/>
      <c r="BA91" s="1"/>
      <c r="BB91" s="1"/>
      <c r="BC91" s="1"/>
      <c r="BD91" s="1"/>
      <c r="BE91" s="1"/>
      <c r="BG91" s="1"/>
      <c r="BH91" s="1"/>
      <c r="BI91" s="1"/>
      <c r="BK91" s="1"/>
      <c r="BL91" s="1"/>
      <c r="BM91" s="1"/>
      <c r="BO91" s="1"/>
      <c r="BP91" s="1"/>
      <c r="BR91" s="1"/>
    </row>
    <row r="92" spans="2:70" x14ac:dyDescent="0.3">
      <c r="B92" s="6" t="s">
        <v>4</v>
      </c>
      <c r="C92" s="1"/>
      <c r="D92" s="1"/>
      <c r="E92" s="1"/>
      <c r="F92" s="13">
        <f>SUM(AT3,AT4,AT5,AT6,AT7,AT8,AT9:AT14)</f>
        <v>6</v>
      </c>
      <c r="G92" s="13">
        <f t="shared" ref="G92:K92" si="73">SUM(AU3,AU4,AU5,AU6,AU7,AU8,AU9:AU14)</f>
        <v>6</v>
      </c>
      <c r="H92" s="13">
        <f t="shared" si="73"/>
        <v>6</v>
      </c>
      <c r="I92" s="13">
        <f t="shared" si="73"/>
        <v>6</v>
      </c>
      <c r="J92" s="13">
        <f t="shared" si="73"/>
        <v>6</v>
      </c>
      <c r="K92" s="13">
        <f t="shared" si="73"/>
        <v>6</v>
      </c>
      <c r="R92" s="6" t="s">
        <v>11</v>
      </c>
      <c r="S92" s="1"/>
      <c r="T92" s="1"/>
      <c r="U92" s="1"/>
      <c r="V92" s="1"/>
      <c r="W92" s="1"/>
      <c r="X92" s="1"/>
      <c r="Y92" s="1"/>
      <c r="Z92" s="1">
        <f>Y17-$X$4-$AA$17*(1-BO8)</f>
        <v>-3.5527136788005009E-15</v>
      </c>
      <c r="AA92" s="1">
        <f>Z17-$X$4-$AA$17*(1-BP8)</f>
        <v>-56.91</v>
      </c>
      <c r="AD92" s="1"/>
      <c r="AE92" s="1"/>
      <c r="AF92" s="1"/>
      <c r="AG92" s="1"/>
      <c r="AH92" s="1"/>
      <c r="AI92" s="1"/>
      <c r="AJ92" s="1"/>
      <c r="AL92" s="1"/>
      <c r="AM92" s="1"/>
      <c r="AN92" s="1"/>
      <c r="AO92" s="1"/>
      <c r="AP92" s="1"/>
      <c r="AQ92" s="1"/>
      <c r="AR92" s="1"/>
      <c r="AT92" s="1"/>
      <c r="AU92" s="1"/>
      <c r="AV92" s="1"/>
      <c r="AW92" s="1"/>
      <c r="AX92" s="1"/>
      <c r="AY92" s="1"/>
      <c r="BA92" s="1"/>
      <c r="BB92" s="1"/>
      <c r="BC92" s="1"/>
      <c r="BD92" s="1"/>
      <c r="BE92" s="1"/>
      <c r="BG92" s="1"/>
      <c r="BH92" s="1"/>
      <c r="BI92" s="1"/>
      <c r="BK92" s="1"/>
      <c r="BL92" s="1"/>
      <c r="BM92" s="1"/>
      <c r="BO92" s="1"/>
      <c r="BP92" s="1"/>
      <c r="BR92" s="1"/>
    </row>
    <row r="93" spans="2:70" x14ac:dyDescent="0.3">
      <c r="B93" s="6" t="s">
        <v>6</v>
      </c>
      <c r="C93" s="1"/>
      <c r="D93" s="1"/>
      <c r="E93" s="1"/>
      <c r="F93" s="1"/>
      <c r="G93" s="13">
        <f>SUM(BA3,BA4,BA5,BA6,BA7,BA8,BA9,BA10,BA11,BA12,BA13,BA14)</f>
        <v>6</v>
      </c>
      <c r="H93" s="13">
        <f t="shared" ref="H93:K93" si="74">SUM(BB3,BB4,BB5,BB6,BB7,BB8,BB9,BB10,BB11,BB12,BB13,BB14)</f>
        <v>6</v>
      </c>
      <c r="I93" s="13">
        <f t="shared" si="74"/>
        <v>6</v>
      </c>
      <c r="J93" s="13">
        <f t="shared" si="74"/>
        <v>6</v>
      </c>
      <c r="K93" s="13">
        <f t="shared" si="74"/>
        <v>6</v>
      </c>
      <c r="Q93" s="5"/>
      <c r="R93" s="6" t="s">
        <v>13</v>
      </c>
      <c r="S93" s="1"/>
      <c r="T93" s="1"/>
      <c r="U93" s="1"/>
      <c r="V93" s="1"/>
      <c r="W93" s="1"/>
      <c r="X93" s="1"/>
      <c r="Y93" s="1"/>
      <c r="Z93" s="1"/>
      <c r="AA93" s="1">
        <f>Z17-$Y$4-$AA$17*(1-BR8)</f>
        <v>-59.230000000000004</v>
      </c>
      <c r="AD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T93" s="1"/>
      <c r="AU93" s="1"/>
      <c r="AV93" s="1"/>
      <c r="AW93" s="1"/>
      <c r="AX93" s="1"/>
      <c r="AY93" s="1"/>
      <c r="BA93" s="1"/>
      <c r="BB93" s="1"/>
      <c r="BC93" s="1"/>
      <c r="BD93" s="1"/>
      <c r="BE93" s="1"/>
      <c r="BG93" s="1"/>
      <c r="BH93" s="1"/>
      <c r="BI93" s="1"/>
      <c r="BK93" s="1"/>
      <c r="BL93" s="1"/>
      <c r="BM93" s="1"/>
      <c r="BO93" s="1"/>
      <c r="BP93" s="1"/>
      <c r="BR93" s="1"/>
    </row>
    <row r="94" spans="2:70" x14ac:dyDescent="0.3">
      <c r="B94" s="6" t="s">
        <v>8</v>
      </c>
      <c r="C94" s="1"/>
      <c r="D94" s="1"/>
      <c r="E94" s="1"/>
      <c r="F94" s="1"/>
      <c r="G94" s="8"/>
      <c r="H94" s="1"/>
      <c r="I94" s="13">
        <f>SUM(BG3,BG4,BG5,BG6,BG7,BG8,BG9,BG10,BG11,BG12,BG13,BG14)</f>
        <v>6</v>
      </c>
      <c r="J94" s="13">
        <f t="shared" ref="J94:K94" si="75">SUM(BH3,BH4,BH5,BH6,BH7,BH8,BH9,BH10,BH11,BH12,BH13,BH14)</f>
        <v>6</v>
      </c>
      <c r="K94" s="13">
        <f t="shared" si="75"/>
        <v>6</v>
      </c>
      <c r="R94" s="6" t="s">
        <v>15</v>
      </c>
      <c r="S94" s="1"/>
      <c r="T94" s="1"/>
      <c r="U94" s="1"/>
      <c r="V94" s="1"/>
      <c r="W94" s="1"/>
      <c r="X94" s="1"/>
      <c r="Y94" s="1"/>
      <c r="Z94" s="1"/>
      <c r="AA94" s="1"/>
      <c r="AD94" s="1"/>
      <c r="AE94" s="1"/>
      <c r="AF94" s="1"/>
      <c r="AG94" s="1"/>
      <c r="AH94" s="1"/>
      <c r="AI94" s="1"/>
      <c r="AJ94" s="1"/>
      <c r="AL94" s="1"/>
      <c r="AM94" s="1"/>
      <c r="AN94" s="1"/>
      <c r="AO94" s="1"/>
      <c r="AP94" s="1"/>
      <c r="AQ94" s="1"/>
      <c r="AR94" s="1"/>
      <c r="AT94" s="1"/>
      <c r="AU94" s="1"/>
      <c r="AV94" s="1"/>
      <c r="AW94" s="1"/>
      <c r="AX94" s="1"/>
      <c r="AY94" s="1"/>
      <c r="BA94" s="1"/>
      <c r="BB94" s="1"/>
      <c r="BC94" s="1"/>
      <c r="BD94" s="1"/>
      <c r="BE94" s="1"/>
      <c r="BG94" s="1"/>
      <c r="BH94" s="1"/>
      <c r="BI94" s="1"/>
      <c r="BK94" s="1"/>
      <c r="BL94" s="1"/>
      <c r="BM94" s="1"/>
      <c r="BO94" s="1"/>
      <c r="BP94" s="1"/>
      <c r="BR94" s="1"/>
    </row>
    <row r="95" spans="2:70" x14ac:dyDescent="0.3">
      <c r="B95" s="6" t="s">
        <v>9</v>
      </c>
      <c r="C95" s="1"/>
      <c r="D95" s="1"/>
      <c r="E95" s="1"/>
      <c r="F95" s="11"/>
      <c r="G95" s="1"/>
      <c r="H95" s="12"/>
      <c r="I95" s="13">
        <f>SUM(BK3,BK4,BK5,BK6,BK7,BK8,BK9:BK14)</f>
        <v>6</v>
      </c>
      <c r="J95" s="13">
        <f t="shared" ref="J95:K95" si="76">SUM(BL3,BL4,BL5,BL6,BL7,BL8,BL9:BL14)</f>
        <v>6</v>
      </c>
      <c r="K95" s="13">
        <f t="shared" si="76"/>
        <v>6</v>
      </c>
      <c r="AD95" s="1"/>
      <c r="AE95" s="1"/>
      <c r="AF95" s="1"/>
      <c r="AG95" s="1"/>
      <c r="AH95" s="1"/>
      <c r="AI95" s="1"/>
      <c r="AJ95" s="1"/>
      <c r="AL95" s="1"/>
      <c r="AM95" s="1"/>
      <c r="AN95" s="1"/>
      <c r="AO95" s="1"/>
      <c r="AP95" s="1"/>
      <c r="AQ95" s="1"/>
      <c r="AR95" s="1"/>
      <c r="AT95" s="1"/>
      <c r="AU95" s="1"/>
      <c r="AV95" s="1"/>
      <c r="AW95" s="1"/>
      <c r="AX95" s="1"/>
      <c r="AY95" s="1"/>
      <c r="BA95" s="1"/>
      <c r="BB95" s="1"/>
      <c r="BC95" s="1"/>
      <c r="BD95" s="1"/>
      <c r="BE95" s="1"/>
      <c r="BG95" s="1"/>
      <c r="BH95" s="1"/>
      <c r="BI95" s="1"/>
      <c r="BK95" s="1"/>
      <c r="BL95" s="1"/>
      <c r="BM95" s="1"/>
      <c r="BO95" s="1"/>
      <c r="BP95" s="1"/>
      <c r="BR95" s="1"/>
    </row>
    <row r="96" spans="2:70" x14ac:dyDescent="0.3">
      <c r="B96" s="6" t="s">
        <v>11</v>
      </c>
      <c r="C96" s="1"/>
      <c r="D96" s="1"/>
      <c r="E96" s="1"/>
      <c r="F96" s="1"/>
      <c r="G96" s="16"/>
      <c r="H96" s="1"/>
      <c r="I96" s="1"/>
      <c r="J96" s="13">
        <f>SUM(BO3,BO4,BO5,BO6,BO7,BO8,BO9,BO10,BO11,BO12,BO13,BO14)</f>
        <v>6</v>
      </c>
      <c r="K96" s="13">
        <f>SUM(BP3,BP4,BP5,BP6,BP7,BP8,BP9,BP10,BP11,BP12,BP13,BP14)</f>
        <v>6</v>
      </c>
      <c r="Q96" t="s">
        <v>54</v>
      </c>
      <c r="R96" t="s">
        <v>40</v>
      </c>
      <c r="AD96" s="1"/>
      <c r="AE96" s="1"/>
      <c r="AF96" s="1"/>
      <c r="AG96" s="1"/>
      <c r="AH96" s="1"/>
      <c r="AI96" s="1"/>
      <c r="AJ96" s="1"/>
      <c r="AL96" s="1"/>
      <c r="AM96" s="1"/>
      <c r="AN96" s="1"/>
      <c r="AO96" s="1"/>
      <c r="AP96" s="1"/>
      <c r="AQ96" s="1"/>
      <c r="AR96" s="1"/>
      <c r="AT96" s="1"/>
      <c r="AU96" s="1"/>
      <c r="AV96" s="1"/>
      <c r="AW96" s="1"/>
      <c r="AX96" s="1"/>
      <c r="AY96" s="1"/>
      <c r="BA96" s="1"/>
      <c r="BB96" s="1"/>
      <c r="BC96" s="1"/>
      <c r="BD96" s="1"/>
      <c r="BE96" s="1"/>
      <c r="BG96" s="1"/>
      <c r="BH96" s="1"/>
      <c r="BI96" s="1"/>
      <c r="BK96" s="1"/>
      <c r="BL96" s="1"/>
      <c r="BM96" s="1"/>
      <c r="BO96" s="1"/>
      <c r="BP96" s="1"/>
      <c r="BR96" s="1"/>
    </row>
    <row r="97" spans="2:70" x14ac:dyDescent="0.3">
      <c r="B97" s="6" t="s">
        <v>13</v>
      </c>
      <c r="C97" s="1"/>
      <c r="D97" s="1"/>
      <c r="E97" s="1"/>
      <c r="F97" s="1"/>
      <c r="G97" s="1"/>
      <c r="H97" s="1"/>
      <c r="I97" s="1"/>
      <c r="J97" s="1"/>
      <c r="K97" s="13">
        <f>SUM(BR3,BR4,BR5,BR6,BR7,BR8,BR9,BR10,BR11,BR12,BR13,BR14)</f>
        <v>6</v>
      </c>
      <c r="R97" s="1"/>
      <c r="S97" s="6" t="s">
        <v>1</v>
      </c>
      <c r="T97" s="6" t="s">
        <v>2</v>
      </c>
      <c r="U97" s="6" t="s">
        <v>4</v>
      </c>
      <c r="V97" s="6" t="s">
        <v>6</v>
      </c>
      <c r="W97" s="6" t="s">
        <v>8</v>
      </c>
      <c r="X97" s="6" t="s">
        <v>9</v>
      </c>
      <c r="Y97" s="6" t="s">
        <v>11</v>
      </c>
      <c r="Z97" s="6" t="s">
        <v>13</v>
      </c>
      <c r="AA97" s="6" t="s">
        <v>15</v>
      </c>
      <c r="AD97" s="1"/>
      <c r="AE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R97" s="1"/>
      <c r="AT97" s="1"/>
      <c r="AU97" s="1"/>
      <c r="AV97" s="1"/>
      <c r="AW97" s="1"/>
      <c r="AX97" s="1"/>
      <c r="AY97" s="1"/>
      <c r="BA97" s="1"/>
      <c r="BB97" s="1"/>
      <c r="BC97" s="1"/>
      <c r="BD97" s="1"/>
      <c r="BE97" s="1"/>
      <c r="BG97" s="1"/>
      <c r="BH97" s="1"/>
      <c r="BI97" s="1"/>
      <c r="BK97" s="1"/>
      <c r="BL97" s="1"/>
      <c r="BM97" s="1"/>
      <c r="BO97" s="1"/>
      <c r="BP97" s="1"/>
      <c r="BR97" s="1"/>
    </row>
    <row r="98" spans="2:70" x14ac:dyDescent="0.3">
      <c r="B98" s="6" t="s">
        <v>15</v>
      </c>
      <c r="C98" s="1"/>
      <c r="D98" s="1"/>
      <c r="E98" s="1"/>
      <c r="F98" s="1"/>
      <c r="G98" s="1"/>
      <c r="H98" s="1"/>
      <c r="I98" s="1"/>
      <c r="J98" s="1"/>
      <c r="K98" s="1"/>
      <c r="R98" s="6" t="s">
        <v>1</v>
      </c>
      <c r="S98" s="1"/>
      <c r="T98" s="1"/>
      <c r="U98" s="1">
        <f>$R$19-T2-$AA$17*(1-AD9)</f>
        <v>-57.114999999999995</v>
      </c>
      <c r="V98" s="1">
        <f t="shared" ref="V98:Z98" si="77">$R$19-U2-$AA$17*(1-AE9)</f>
        <v>-58.02</v>
      </c>
      <c r="W98" s="1">
        <f t="shared" si="77"/>
        <v>-60.14</v>
      </c>
      <c r="X98" s="1">
        <f t="shared" si="77"/>
        <v>-2.2299999999999969</v>
      </c>
      <c r="Y98" s="1">
        <f t="shared" si="77"/>
        <v>-5.6500000000000128</v>
      </c>
      <c r="Z98" s="1">
        <f t="shared" si="77"/>
        <v>-6.5400000000000134</v>
      </c>
      <c r="AA98" s="1">
        <f>$R$19-Z2-$AA$17*(1-AJ9)</f>
        <v>-9.1900000000000119</v>
      </c>
      <c r="AD98" s="1"/>
      <c r="AE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R98" s="1"/>
      <c r="AT98" s="1"/>
      <c r="AU98" s="1"/>
      <c r="AV98" s="1"/>
      <c r="AW98" s="1"/>
      <c r="AX98" s="1"/>
      <c r="AY98" s="1"/>
      <c r="BA98" s="1"/>
      <c r="BB98" s="1"/>
      <c r="BC98" s="1"/>
      <c r="BD98" s="1"/>
      <c r="BE98" s="1"/>
      <c r="BG98" s="1"/>
      <c r="BH98" s="1"/>
      <c r="BI98" s="1"/>
      <c r="BK98" s="1"/>
      <c r="BL98" s="1"/>
      <c r="BM98" s="1"/>
      <c r="BO98" s="1"/>
      <c r="BP98" s="1"/>
      <c r="BR98" s="1"/>
    </row>
    <row r="99" spans="2:70" x14ac:dyDescent="0.3">
      <c r="R99" s="6" t="s">
        <v>2</v>
      </c>
      <c r="S99" s="1"/>
      <c r="T99" s="1"/>
      <c r="U99" s="1">
        <f>$S$19-T2-$AA$17*(1-AL9)</f>
        <v>-54.884999999999998</v>
      </c>
      <c r="V99" s="1">
        <f t="shared" ref="V99:AA99" si="78">$S$19-U2-$AA$17*(1-AM9)</f>
        <v>-55.790000000000006</v>
      </c>
      <c r="W99" s="1">
        <f t="shared" si="78"/>
        <v>-57.910000000000004</v>
      </c>
      <c r="X99" s="1">
        <f t="shared" si="78"/>
        <v>3.5527136788005009E-15</v>
      </c>
      <c r="Y99" s="1">
        <f t="shared" si="78"/>
        <v>-3.4200000000000124</v>
      </c>
      <c r="Z99" s="1">
        <f t="shared" si="78"/>
        <v>-4.3100000000000129</v>
      </c>
      <c r="AA99" s="1">
        <f t="shared" si="78"/>
        <v>-6.9600000000000115</v>
      </c>
      <c r="AD99" s="1"/>
      <c r="AE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R99" s="1"/>
      <c r="AT99" s="1"/>
      <c r="AU99" s="1"/>
      <c r="AV99" s="1"/>
      <c r="AW99" s="1"/>
      <c r="AX99" s="1"/>
      <c r="AY99" s="1"/>
      <c r="BA99" s="1"/>
      <c r="BB99" s="1"/>
      <c r="BC99" s="1"/>
      <c r="BD99" s="1"/>
      <c r="BE99" s="1"/>
      <c r="BG99" s="1"/>
      <c r="BH99" s="1"/>
      <c r="BI99" s="1"/>
      <c r="BK99" s="1"/>
      <c r="BL99" s="1"/>
      <c r="BM99" s="1"/>
      <c r="BO99" s="1"/>
      <c r="BP99" s="1"/>
      <c r="BR99" s="1"/>
    </row>
    <row r="100" spans="2:70" x14ac:dyDescent="0.3">
      <c r="R100" s="6" t="s">
        <v>4</v>
      </c>
      <c r="S100" s="1"/>
      <c r="T100" s="1"/>
      <c r="U100" s="1"/>
      <c r="V100" s="1">
        <f>$T$19-U2-$AA$17*(1-AT9)</f>
        <v>-52.37</v>
      </c>
      <c r="W100" s="1">
        <f t="shared" ref="W100:AA100" si="79">$T$19-V2-$AA$17*(1-AU9)</f>
        <v>-54.489999999999995</v>
      </c>
      <c r="X100" s="1">
        <f t="shared" si="79"/>
        <v>-58.18</v>
      </c>
      <c r="Y100" s="1">
        <f t="shared" si="79"/>
        <v>-5.3290705182007514E-15</v>
      </c>
      <c r="Z100" s="1">
        <f t="shared" si="79"/>
        <v>-0.8900000000000059</v>
      </c>
      <c r="AA100" s="1">
        <f t="shared" si="79"/>
        <v>-3.5400000000000045</v>
      </c>
      <c r="AD100" s="1"/>
      <c r="AE100" s="1"/>
      <c r="AF100" s="1"/>
      <c r="AG100" s="1"/>
      <c r="AH100" s="1"/>
      <c r="AI100" s="1"/>
      <c r="AJ100" s="1"/>
      <c r="AL100" s="1"/>
      <c r="AM100" s="1"/>
      <c r="AN100" s="1"/>
      <c r="AO100" s="1"/>
      <c r="AP100" s="1"/>
      <c r="AQ100" s="1"/>
      <c r="AR100" s="1"/>
      <c r="AT100" s="1"/>
      <c r="AU100" s="1"/>
      <c r="AV100" s="1"/>
      <c r="AW100" s="1"/>
      <c r="AX100" s="1"/>
      <c r="AY100" s="1"/>
      <c r="BA100" s="1"/>
      <c r="BB100" s="1"/>
      <c r="BC100" s="1"/>
      <c r="BD100" s="1"/>
      <c r="BE100" s="1"/>
      <c r="BG100" s="1"/>
      <c r="BH100" s="1"/>
      <c r="BI100" s="1"/>
      <c r="BK100" s="1"/>
      <c r="BL100" s="1"/>
      <c r="BM100" s="1"/>
      <c r="BO100" s="1"/>
      <c r="BP100" s="1"/>
      <c r="BR100" s="1"/>
    </row>
    <row r="101" spans="2:70" x14ac:dyDescent="0.3">
      <c r="R101" s="6" t="s">
        <v>6</v>
      </c>
      <c r="S101" s="1"/>
      <c r="T101" s="1"/>
      <c r="U101" s="1"/>
      <c r="V101" s="1"/>
      <c r="W101" s="1">
        <f>$U$19-V2-$AA$17*(1-BA9)</f>
        <v>-53.359999999999985</v>
      </c>
      <c r="X101" s="1">
        <f t="shared" ref="X101:AA101" si="80">$U$19-W2-$AA$17*(1-BB9)</f>
        <v>-57.04999999999999</v>
      </c>
      <c r="Y101" s="1">
        <f t="shared" si="80"/>
        <v>-60.470000000000006</v>
      </c>
      <c r="Z101" s="1">
        <f t="shared" si="80"/>
        <v>-61.360000000000007</v>
      </c>
      <c r="AA101" s="1">
        <f t="shared" si="80"/>
        <v>-2.4099999999999948</v>
      </c>
      <c r="AD101" s="1"/>
      <c r="AE101" s="1"/>
      <c r="AF101" s="1"/>
      <c r="AG101" s="1"/>
      <c r="AH101" s="1"/>
      <c r="AI101" s="1"/>
      <c r="AJ101" s="1"/>
      <c r="AL101" s="1"/>
      <c r="AM101" s="1"/>
      <c r="AN101" s="1"/>
      <c r="AO101" s="1"/>
      <c r="AP101" s="1"/>
      <c r="AQ101" s="1"/>
      <c r="AR101" s="1"/>
      <c r="AT101" s="1"/>
      <c r="AU101" s="1"/>
      <c r="AV101" s="1"/>
      <c r="AW101" s="1"/>
      <c r="AX101" s="1"/>
      <c r="AY101" s="1"/>
      <c r="BA101" s="1"/>
      <c r="BB101" s="1"/>
      <c r="BC101" s="1"/>
      <c r="BD101" s="1"/>
      <c r="BE101" s="1"/>
      <c r="BG101" s="1"/>
      <c r="BH101" s="1"/>
      <c r="BI101" s="1"/>
      <c r="BK101" s="1"/>
      <c r="BL101" s="1"/>
      <c r="BM101" s="1"/>
      <c r="BO101" s="1"/>
      <c r="BP101" s="1"/>
      <c r="BR101" s="1"/>
    </row>
    <row r="102" spans="2:70" x14ac:dyDescent="0.3">
      <c r="R102" s="6" t="s">
        <v>8</v>
      </c>
      <c r="S102" s="1"/>
      <c r="T102" s="1"/>
      <c r="U102" s="1"/>
      <c r="V102" s="1"/>
      <c r="W102" s="1"/>
      <c r="X102" s="1"/>
      <c r="Y102" s="1">
        <f>$V$19-X2-$AA$17*(1-BG9)</f>
        <v>-55.57</v>
      </c>
      <c r="Z102" s="1">
        <f t="shared" ref="Z102:AA102" si="81">$V$19-Y2-$AA$17*(1-BH9)</f>
        <v>-56.46</v>
      </c>
      <c r="AA102" s="1">
        <f t="shared" si="81"/>
        <v>-59.11</v>
      </c>
      <c r="AD102" s="1"/>
      <c r="AE102" s="1"/>
      <c r="AF102" s="1"/>
      <c r="AG102" s="1"/>
      <c r="AH102" s="1"/>
      <c r="AI102" s="1"/>
      <c r="AJ102" s="1"/>
      <c r="AL102" s="1"/>
      <c r="AM102" s="1"/>
      <c r="AN102" s="1"/>
      <c r="AO102" s="1"/>
      <c r="AP102" s="1"/>
      <c r="AQ102" s="1"/>
      <c r="AR102" s="1"/>
      <c r="AT102" s="1"/>
      <c r="AU102" s="1"/>
      <c r="AV102" s="1"/>
      <c r="AW102" s="1"/>
      <c r="AX102" s="1"/>
      <c r="AY102" s="1"/>
      <c r="BA102" s="1"/>
      <c r="BB102" s="1"/>
      <c r="BC102" s="1"/>
      <c r="BD102" s="1"/>
      <c r="BE102" s="1"/>
      <c r="BG102" s="1"/>
      <c r="BH102" s="1"/>
      <c r="BI102" s="1"/>
      <c r="BK102" s="1"/>
      <c r="BL102" s="1"/>
      <c r="BM102" s="1"/>
      <c r="BO102" s="1"/>
      <c r="BP102" s="1"/>
      <c r="BR102" s="1"/>
    </row>
    <row r="103" spans="2:70" x14ac:dyDescent="0.3">
      <c r="R103" s="6" t="s">
        <v>9</v>
      </c>
      <c r="S103" s="1"/>
      <c r="T103" s="1"/>
      <c r="U103" s="1"/>
      <c r="V103" s="1"/>
      <c r="W103" s="1"/>
      <c r="X103" s="1"/>
      <c r="Y103" s="1">
        <f>$W$19-X2-$AA$17*(1-BK9)</f>
        <v>-53.370000000000005</v>
      </c>
      <c r="Z103" s="1">
        <f t="shared" ref="Z103:AA103" si="82">$W$19-Y2-$AA$17*(1-BL9)</f>
        <v>-54.260000000000005</v>
      </c>
      <c r="AA103" s="1">
        <f t="shared" si="82"/>
        <v>-56.91</v>
      </c>
      <c r="AD103" s="1"/>
      <c r="AE103" s="1"/>
      <c r="AF103" s="1"/>
      <c r="AG103" s="1"/>
      <c r="AH103" s="1"/>
      <c r="AI103" s="1"/>
      <c r="AJ103" s="1"/>
      <c r="AL103" s="1"/>
      <c r="AM103" s="1"/>
      <c r="AN103" s="1"/>
      <c r="AO103" s="1"/>
      <c r="AP103" s="1"/>
      <c r="AQ103" s="1"/>
      <c r="AR103" s="1"/>
      <c r="AT103" s="1"/>
      <c r="AU103" s="1"/>
      <c r="AV103" s="1"/>
      <c r="AW103" s="1"/>
      <c r="AX103" s="1"/>
      <c r="AY103" s="1"/>
      <c r="BA103" s="1"/>
      <c r="BB103" s="1"/>
      <c r="BC103" s="1"/>
      <c r="BD103" s="1"/>
      <c r="BE103" s="1"/>
      <c r="BG103" s="1"/>
      <c r="BH103" s="1"/>
      <c r="BI103" s="1"/>
      <c r="BK103" s="1"/>
      <c r="BL103" s="1"/>
      <c r="BM103" s="1"/>
      <c r="BO103" s="1"/>
      <c r="BP103" s="1"/>
      <c r="BR103" s="1"/>
    </row>
    <row r="104" spans="2:70" x14ac:dyDescent="0.3">
      <c r="Q104" s="5"/>
      <c r="R104" s="6" t="s">
        <v>11</v>
      </c>
      <c r="S104" s="1"/>
      <c r="T104" s="1"/>
      <c r="U104" s="1"/>
      <c r="V104" s="1"/>
      <c r="W104" s="1"/>
      <c r="X104" s="1"/>
      <c r="Y104" s="1"/>
      <c r="Z104" s="1">
        <f>$X$19-Y2-$AA$17*(1-BO9)</f>
        <v>-51.769999999999996</v>
      </c>
      <c r="AA104" s="1">
        <f>$X$19-Z2-$AA$17*(1-BP9)</f>
        <v>-54.419999999999987</v>
      </c>
      <c r="AD104" s="1"/>
      <c r="AE104" s="1"/>
      <c r="AF104" s="1"/>
      <c r="AG104" s="1"/>
      <c r="AH104" s="1"/>
      <c r="AI104" s="1"/>
      <c r="AJ104" s="1"/>
      <c r="AL104" s="1"/>
      <c r="AM104" s="1"/>
      <c r="AN104" s="1"/>
      <c r="AO104" s="1"/>
      <c r="AP104" s="1"/>
      <c r="AQ104" s="1"/>
      <c r="AR104" s="1"/>
      <c r="AT104" s="1"/>
      <c r="AU104" s="1"/>
      <c r="AV104" s="1"/>
      <c r="AW104" s="1"/>
      <c r="AX104" s="1"/>
      <c r="AY104" s="1"/>
      <c r="BA104" s="1"/>
      <c r="BB104" s="1"/>
      <c r="BC104" s="1"/>
      <c r="BD104" s="1"/>
      <c r="BE104" s="1"/>
      <c r="BG104" s="1"/>
      <c r="BH104" s="1"/>
      <c r="BI104" s="1"/>
      <c r="BK104" s="1"/>
      <c r="BL104" s="1"/>
      <c r="BM104" s="1"/>
      <c r="BO104" s="1"/>
      <c r="BP104" s="1"/>
      <c r="BR104" s="1"/>
    </row>
    <row r="105" spans="2:70" x14ac:dyDescent="0.3">
      <c r="R105" s="6" t="s">
        <v>13</v>
      </c>
      <c r="S105" s="1"/>
      <c r="T105" s="1"/>
      <c r="U105" s="1"/>
      <c r="V105" s="1"/>
      <c r="W105" s="1"/>
      <c r="X105" s="1"/>
      <c r="Y105" s="1"/>
      <c r="Z105" s="1"/>
      <c r="AA105" s="1">
        <f>$Y$19-Z2-$AA$17*(1-BR9)</f>
        <v>-53.529999999999987</v>
      </c>
      <c r="AD105" s="1"/>
      <c r="AE105" s="1"/>
      <c r="AF105" s="1"/>
      <c r="AG105" s="1"/>
      <c r="AH105" s="1"/>
      <c r="AI105" s="1"/>
      <c r="AJ105" s="1"/>
      <c r="AL105" s="1"/>
      <c r="AM105" s="1"/>
      <c r="AN105" s="1"/>
      <c r="AO105" s="1"/>
      <c r="AP105" s="1"/>
      <c r="AQ105" s="1"/>
      <c r="AR105" s="1"/>
      <c r="AT105" s="1"/>
      <c r="AU105" s="1"/>
      <c r="AV105" s="1"/>
      <c r="AW105" s="1"/>
      <c r="AX105" s="1"/>
      <c r="AY105" s="1"/>
      <c r="BA105" s="1"/>
      <c r="BB105" s="1"/>
      <c r="BC105" s="1"/>
      <c r="BD105" s="1"/>
      <c r="BE105" s="1"/>
      <c r="BG105" s="1"/>
      <c r="BH105" s="1"/>
      <c r="BI105" s="1"/>
      <c r="BK105" s="1"/>
      <c r="BL105" s="1"/>
      <c r="BM105" s="1"/>
      <c r="BO105" s="1"/>
      <c r="BP105" s="1"/>
      <c r="BR105" s="1"/>
    </row>
    <row r="106" spans="2:70" x14ac:dyDescent="0.3">
      <c r="R106" s="6" t="s">
        <v>15</v>
      </c>
      <c r="S106" s="1"/>
      <c r="T106" s="1"/>
      <c r="U106" s="1"/>
      <c r="V106" s="1"/>
      <c r="W106" s="1"/>
      <c r="X106" s="1"/>
      <c r="Y106" s="1"/>
      <c r="Z106" s="1"/>
      <c r="AA106" s="1"/>
      <c r="AD106" s="1"/>
      <c r="AE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BA106" s="1"/>
      <c r="BB106" s="1"/>
      <c r="BC106" s="1"/>
      <c r="BD106" s="1"/>
      <c r="BE106" s="1"/>
      <c r="BG106" s="1"/>
      <c r="BH106" s="1"/>
      <c r="BI106" s="1"/>
      <c r="BK106" s="1"/>
      <c r="BL106" s="1"/>
      <c r="BM106" s="1"/>
      <c r="BO106" s="1"/>
      <c r="BP106" s="1"/>
      <c r="BR106" s="1"/>
    </row>
    <row r="107" spans="2:70" x14ac:dyDescent="0.3">
      <c r="AD107" s="1"/>
      <c r="AE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R107" s="1"/>
      <c r="AT107" s="1"/>
      <c r="AU107" s="1"/>
      <c r="AV107" s="1"/>
      <c r="AW107" s="1"/>
      <c r="AX107" s="1"/>
      <c r="AY107" s="1"/>
      <c r="BA107" s="1"/>
      <c r="BB107" s="1"/>
      <c r="BC107" s="1"/>
      <c r="BD107" s="1"/>
      <c r="BE107" s="1"/>
      <c r="BG107" s="1"/>
      <c r="BH107" s="1"/>
      <c r="BI107" s="1"/>
      <c r="BK107" s="1"/>
      <c r="BL107" s="1"/>
      <c r="BM107" s="1"/>
      <c r="BO107" s="1"/>
      <c r="BP107" s="1"/>
      <c r="BR107" s="1"/>
    </row>
    <row r="108" spans="2:70" x14ac:dyDescent="0.3">
      <c r="R108" t="s">
        <v>43</v>
      </c>
      <c r="AD108" s="1"/>
      <c r="AE108" s="1"/>
      <c r="AF108" s="1"/>
      <c r="AG108" s="1"/>
      <c r="AH108" s="1"/>
      <c r="AI108" s="1"/>
      <c r="AJ108" s="1"/>
      <c r="AL108" s="1"/>
      <c r="AM108" s="1"/>
      <c r="AN108" s="1"/>
      <c r="AO108" s="1"/>
      <c r="AP108" s="1"/>
      <c r="AQ108" s="1"/>
      <c r="AR108" s="1"/>
      <c r="AT108" s="1"/>
      <c r="AU108" s="1"/>
      <c r="AV108" s="1"/>
      <c r="AW108" s="1"/>
      <c r="AX108" s="1"/>
      <c r="AY108" s="1"/>
      <c r="BA108" s="1"/>
      <c r="BB108" s="1"/>
      <c r="BC108" s="1"/>
      <c r="BD108" s="1"/>
      <c r="BE108" s="1"/>
      <c r="BG108" s="1"/>
      <c r="BH108" s="1"/>
      <c r="BI108" s="1"/>
      <c r="BK108" s="1"/>
      <c r="BL108" s="1"/>
      <c r="BM108" s="1"/>
      <c r="BO108" s="1"/>
      <c r="BP108" s="1"/>
      <c r="BR108" s="1"/>
    </row>
    <row r="109" spans="2:70" x14ac:dyDescent="0.3">
      <c r="R109" s="1"/>
      <c r="S109" s="6" t="s">
        <v>1</v>
      </c>
      <c r="T109" s="6" t="s">
        <v>2</v>
      </c>
      <c r="U109" s="6" t="s">
        <v>4</v>
      </c>
      <c r="V109" s="6" t="s">
        <v>6</v>
      </c>
      <c r="W109" s="6" t="s">
        <v>8</v>
      </c>
      <c r="X109" s="6" t="s">
        <v>9</v>
      </c>
      <c r="Y109" s="6" t="s">
        <v>11</v>
      </c>
      <c r="Z109" s="6" t="s">
        <v>13</v>
      </c>
      <c r="AA109" s="6" t="s">
        <v>15</v>
      </c>
      <c r="AD109" s="1"/>
      <c r="AE109" s="1"/>
      <c r="AF109" s="1"/>
      <c r="AG109" s="1"/>
      <c r="AH109" s="1"/>
      <c r="AI109" s="1"/>
      <c r="AJ109" s="1"/>
      <c r="AL109" s="1"/>
      <c r="AM109" s="1"/>
      <c r="AN109" s="1"/>
      <c r="AO109" s="1"/>
      <c r="AP109" s="1"/>
      <c r="AQ109" s="1"/>
      <c r="AR109" s="1"/>
      <c r="AT109" s="1"/>
      <c r="AU109" s="1"/>
      <c r="AV109" s="1"/>
      <c r="AW109" s="1"/>
      <c r="AX109" s="1"/>
      <c r="AY109" s="1"/>
      <c r="BA109" s="1"/>
      <c r="BB109" s="1"/>
      <c r="BC109" s="1"/>
      <c r="BD109" s="1"/>
      <c r="BE109" s="1"/>
      <c r="BG109" s="1"/>
      <c r="BH109" s="1"/>
      <c r="BI109" s="1"/>
      <c r="BK109" s="1"/>
      <c r="BL109" s="1"/>
      <c r="BM109" s="1"/>
      <c r="BO109" s="1"/>
      <c r="BP109" s="1"/>
      <c r="BR109" s="1"/>
    </row>
    <row r="110" spans="2:70" x14ac:dyDescent="0.3">
      <c r="R110" s="6" t="s">
        <v>1</v>
      </c>
      <c r="S110" s="1"/>
      <c r="T110" s="1"/>
      <c r="U110" s="1">
        <f>$R$19-T3-$AA$17*(1-AD10)</f>
        <v>-58.575000000000003</v>
      </c>
      <c r="V110" s="1">
        <f t="shared" ref="V110:Z110" si="83">$R$19-U3-$AA$17*(1-AE10)</f>
        <v>-61.36</v>
      </c>
      <c r="W110" s="1">
        <f t="shared" si="83"/>
        <v>-3.330000000000009</v>
      </c>
      <c r="X110" s="1">
        <f t="shared" si="83"/>
        <v>-3.330000000000009</v>
      </c>
      <c r="Y110" s="1">
        <f t="shared" si="83"/>
        <v>-6.8700000000000081</v>
      </c>
      <c r="Z110" s="1">
        <f t="shared" si="83"/>
        <v>-11.440000000000012</v>
      </c>
      <c r="AA110" s="1">
        <f>$R$19-Z3-$AA$17*(1-AJ10)</f>
        <v>-14.000000000000028</v>
      </c>
      <c r="AD110" s="1"/>
      <c r="AE110" s="1"/>
      <c r="AF110" s="1"/>
      <c r="AG110" s="1"/>
      <c r="AH110" s="1"/>
      <c r="AI110" s="1"/>
      <c r="AJ110" s="1"/>
      <c r="AL110" s="1"/>
      <c r="AM110" s="1"/>
      <c r="AN110" s="1"/>
      <c r="AO110" s="1"/>
      <c r="AP110" s="1"/>
      <c r="AQ110" s="1"/>
      <c r="AR110" s="1"/>
      <c r="AT110" s="1"/>
      <c r="AU110" s="1"/>
      <c r="AV110" s="1"/>
      <c r="AW110" s="1"/>
      <c r="AX110" s="1"/>
      <c r="AY110" s="1"/>
      <c r="BA110" s="1"/>
      <c r="BB110" s="1"/>
      <c r="BC110" s="1"/>
      <c r="BD110" s="1"/>
      <c r="BE110" s="1"/>
      <c r="BG110" s="1"/>
      <c r="BH110" s="1"/>
      <c r="BI110" s="1"/>
      <c r="BK110" s="1"/>
      <c r="BL110" s="1"/>
      <c r="BM110" s="1"/>
      <c r="BO110" s="1"/>
      <c r="BP110" s="1"/>
      <c r="BR110" s="1"/>
    </row>
    <row r="111" spans="2:70" x14ac:dyDescent="0.3">
      <c r="R111" s="6" t="s">
        <v>2</v>
      </c>
      <c r="S111" s="1"/>
      <c r="T111" s="1"/>
      <c r="U111" s="1">
        <f>$S$19-T3-$AA$17*(1-AL10)</f>
        <v>-56.344999999999999</v>
      </c>
      <c r="V111" s="1">
        <f t="shared" ref="V111:AA111" si="84">$S$19-U3-$AA$17*(1-AM10)</f>
        <v>-59.129999999999995</v>
      </c>
      <c r="W111" s="1">
        <f t="shared" si="84"/>
        <v>-1.1000000000000085</v>
      </c>
      <c r="X111" s="1">
        <f t="shared" si="84"/>
        <v>-1.1000000000000085</v>
      </c>
      <c r="Y111" s="1">
        <f t="shared" si="84"/>
        <v>-4.6400000000000077</v>
      </c>
      <c r="Z111" s="1">
        <f t="shared" si="84"/>
        <v>-9.2100000000000115</v>
      </c>
      <c r="AA111" s="1">
        <f t="shared" si="84"/>
        <v>-11.770000000000028</v>
      </c>
      <c r="AD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R111" s="1"/>
      <c r="AT111" s="1"/>
      <c r="AU111" s="1"/>
      <c r="AV111" s="1"/>
      <c r="AW111" s="1"/>
      <c r="AX111" s="1"/>
      <c r="AY111" s="1"/>
      <c r="BA111" s="1"/>
      <c r="BB111" s="1"/>
      <c r="BC111" s="1"/>
      <c r="BD111" s="1"/>
      <c r="BE111" s="1"/>
      <c r="BG111" s="1"/>
      <c r="BH111" s="1"/>
      <c r="BI111" s="1"/>
      <c r="BK111" s="1"/>
      <c r="BL111" s="1"/>
      <c r="BM111" s="1"/>
      <c r="BO111" s="1"/>
      <c r="BP111" s="1"/>
      <c r="BR111" s="1"/>
    </row>
    <row r="112" spans="2:70" x14ac:dyDescent="0.3">
      <c r="R112" s="6" t="s">
        <v>4</v>
      </c>
      <c r="S112" s="1"/>
      <c r="T112" s="1"/>
      <c r="U112" s="1"/>
      <c r="V112" s="1">
        <f>$T$19-U3-$AA$17*(1-AT10)</f>
        <v>-55.709999999999994</v>
      </c>
      <c r="W112" s="1">
        <f t="shared" ref="W112:AA112" si="85">$T$19-V3-$AA$17*(1-AU10)</f>
        <v>-59.280000000000008</v>
      </c>
      <c r="X112" s="1">
        <f t="shared" si="85"/>
        <v>-59.280000000000008</v>
      </c>
      <c r="Y112" s="1">
        <f t="shared" si="85"/>
        <v>-1.2200000000000006</v>
      </c>
      <c r="Z112" s="1">
        <f t="shared" si="85"/>
        <v>-5.7900000000000045</v>
      </c>
      <c r="AA112" s="1">
        <f t="shared" si="85"/>
        <v>-8.350000000000021</v>
      </c>
      <c r="AD112" s="1"/>
      <c r="AE112" s="1"/>
      <c r="AF112" s="1"/>
      <c r="AG112" s="1"/>
      <c r="AH112" s="1"/>
      <c r="AI112" s="1"/>
      <c r="AJ112" s="1"/>
      <c r="AL112" s="1"/>
      <c r="AM112" s="1"/>
      <c r="AN112" s="1"/>
      <c r="AO112" s="1"/>
      <c r="AP112" s="1"/>
      <c r="AQ112" s="1"/>
      <c r="AR112" s="1"/>
      <c r="AT112" s="1"/>
      <c r="AU112" s="1"/>
      <c r="AV112" s="1"/>
      <c r="AW112" s="1"/>
      <c r="AX112" s="1"/>
      <c r="AY112" s="1"/>
      <c r="BA112" s="1"/>
      <c r="BB112" s="1"/>
      <c r="BC112" s="1"/>
      <c r="BD112" s="1"/>
      <c r="BE112" s="1"/>
      <c r="BG112" s="1"/>
      <c r="BH112" s="1"/>
      <c r="BI112" s="1"/>
      <c r="BK112" s="1"/>
      <c r="BL112" s="1"/>
      <c r="BM112" s="1"/>
      <c r="BO112" s="1"/>
      <c r="BP112" s="1"/>
      <c r="BR112" s="1"/>
    </row>
    <row r="113" spans="18:70" x14ac:dyDescent="0.3">
      <c r="R113" s="6" t="s">
        <v>6</v>
      </c>
      <c r="S113" s="1"/>
      <c r="T113" s="1"/>
      <c r="U113" s="1"/>
      <c r="V113" s="1"/>
      <c r="W113" s="1">
        <f>$U$19-V3-$AA$17*(1-BA10)</f>
        <v>-58.15</v>
      </c>
      <c r="X113" s="1">
        <f t="shared" ref="X113:AA113" si="86">$U$19-W3-$AA$17*(1-BB10)</f>
        <v>-58.15</v>
      </c>
      <c r="Y113" s="1">
        <f t="shared" si="86"/>
        <v>-8.9999999999990976E-2</v>
      </c>
      <c r="Z113" s="1">
        <f t="shared" si="86"/>
        <v>-4.6599999999999948</v>
      </c>
      <c r="AA113" s="1">
        <f t="shared" si="86"/>
        <v>-7.2200000000000113</v>
      </c>
      <c r="AD113" s="1"/>
      <c r="AE113" s="1"/>
      <c r="AF113" s="1"/>
      <c r="AG113" s="1"/>
      <c r="AH113" s="1"/>
      <c r="AI113" s="1"/>
      <c r="AJ113" s="1"/>
      <c r="AL113" s="1"/>
      <c r="AM113" s="1"/>
      <c r="AN113" s="1"/>
      <c r="AO113" s="1"/>
      <c r="AP113" s="1"/>
      <c r="AQ113" s="1"/>
      <c r="AR113" s="1"/>
      <c r="AT113" s="1"/>
      <c r="AU113" s="1"/>
      <c r="AV113" s="1"/>
      <c r="AW113" s="1"/>
      <c r="AX113" s="1"/>
      <c r="AY113" s="1"/>
      <c r="BA113" s="1"/>
      <c r="BB113" s="1"/>
      <c r="BC113" s="1"/>
      <c r="BD113" s="1"/>
      <c r="BE113" s="1"/>
      <c r="BG113" s="1"/>
      <c r="BH113" s="1"/>
      <c r="BI113" s="1"/>
      <c r="BK113" s="1"/>
      <c r="BL113" s="1"/>
      <c r="BM113" s="1"/>
      <c r="BO113" s="1"/>
      <c r="BP113" s="1"/>
      <c r="BR113" s="1"/>
    </row>
    <row r="114" spans="18:70" x14ac:dyDescent="0.3">
      <c r="R114" s="6" t="s">
        <v>8</v>
      </c>
      <c r="S114" s="1"/>
      <c r="T114" s="1"/>
      <c r="U114" s="1"/>
      <c r="V114" s="1"/>
      <c r="W114" s="1"/>
      <c r="X114" s="1"/>
      <c r="Y114" s="1">
        <f>$V$19-X3-$AA$17*(1-BG10)</f>
        <v>-56.789999999999992</v>
      </c>
      <c r="Z114" s="1">
        <f t="shared" ref="Z114:AA114" si="87">$V$19-Y3-$AA$17*(1-BH10)</f>
        <v>-61.36</v>
      </c>
      <c r="AA114" s="1">
        <f t="shared" si="87"/>
        <v>-2.3200000000000074</v>
      </c>
      <c r="AD114" s="1"/>
      <c r="AE114" s="1"/>
      <c r="AF114" s="1"/>
      <c r="AG114" s="1"/>
      <c r="AH114" s="1"/>
      <c r="AI114" s="1"/>
      <c r="AJ114" s="1"/>
      <c r="AL114" s="1"/>
      <c r="AM114" s="1"/>
      <c r="AN114" s="1"/>
      <c r="AO114" s="1"/>
      <c r="AP114" s="1"/>
      <c r="AQ114" s="1"/>
      <c r="AR114" s="1"/>
      <c r="AT114" s="1"/>
      <c r="AU114" s="1"/>
      <c r="AV114" s="1"/>
      <c r="AW114" s="1"/>
      <c r="AX114" s="1"/>
      <c r="AY114" s="1"/>
      <c r="BA114" s="1"/>
      <c r="BB114" s="1"/>
      <c r="BC114" s="1"/>
      <c r="BD114" s="1"/>
      <c r="BE114" s="1"/>
      <c r="BG114" s="1"/>
      <c r="BH114" s="1"/>
      <c r="BI114" s="1"/>
      <c r="BK114" s="1"/>
      <c r="BL114" s="1"/>
      <c r="BM114" s="1"/>
      <c r="BO114" s="1"/>
      <c r="BP114" s="1"/>
      <c r="BR114" s="1"/>
    </row>
    <row r="115" spans="18:70" x14ac:dyDescent="0.3">
      <c r="R115" s="6" t="s">
        <v>9</v>
      </c>
      <c r="S115" s="1"/>
      <c r="T115" s="1"/>
      <c r="U115" s="1"/>
      <c r="V115" s="1"/>
      <c r="W115" s="1"/>
      <c r="X115" s="1"/>
      <c r="Y115" s="6">
        <f>$W$19-X3-$AA$17*(1-BK10)</f>
        <v>-54.589999999999996</v>
      </c>
      <c r="Z115" s="6">
        <f t="shared" ref="Z115" si="88">$W$19-Y3-$AA$17*(1-BL10)</f>
        <v>-59.16</v>
      </c>
      <c r="AA115" s="6">
        <f>$W$19-Z3-$AA$17*(1-BM10)</f>
        <v>-0.1200000000000081</v>
      </c>
      <c r="AD115" s="1"/>
      <c r="AE115" s="1"/>
      <c r="AF115" s="1"/>
      <c r="AG115" s="1"/>
      <c r="AH115" s="1"/>
      <c r="AI115" s="1"/>
      <c r="AJ115" s="1"/>
      <c r="AL115" s="1"/>
      <c r="AM115" s="1"/>
      <c r="AN115" s="1"/>
      <c r="AO115" s="1"/>
      <c r="AP115" s="1"/>
      <c r="AQ115" s="1"/>
      <c r="AR115" s="1"/>
      <c r="AT115" s="1"/>
      <c r="AU115" s="1"/>
      <c r="AV115" s="1"/>
      <c r="AW115" s="1"/>
      <c r="AX115" s="1"/>
      <c r="AY115" s="1"/>
      <c r="BA115" s="1"/>
      <c r="BB115" s="1"/>
      <c r="BC115" s="1"/>
      <c r="BD115" s="1"/>
      <c r="BE115" s="1"/>
      <c r="BG115" s="1"/>
      <c r="BH115" s="1"/>
      <c r="BI115" s="1"/>
      <c r="BK115" s="1"/>
      <c r="BL115" s="1"/>
      <c r="BM115" s="1"/>
      <c r="BO115" s="1"/>
      <c r="BP115" s="1"/>
      <c r="BR115" s="1"/>
    </row>
    <row r="116" spans="18:70" x14ac:dyDescent="0.3">
      <c r="R116" s="6" t="s">
        <v>11</v>
      </c>
      <c r="S116" s="1"/>
      <c r="T116" s="1"/>
      <c r="U116" s="1"/>
      <c r="V116" s="1"/>
      <c r="W116" s="1"/>
      <c r="X116" s="1"/>
      <c r="Y116" s="1"/>
      <c r="Z116" s="1">
        <f>$X$19-Y3-$AA$17*(1-BO10)</f>
        <v>-56.669999999999987</v>
      </c>
      <c r="AA116" s="1">
        <f>$X$19-Z3-$AA$17*(1-BP10)</f>
        <v>-59.230000000000004</v>
      </c>
      <c r="AD116" s="1"/>
      <c r="AE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R116" s="1"/>
      <c r="AT116" s="1"/>
      <c r="AU116" s="1"/>
      <c r="AV116" s="1"/>
      <c r="AW116" s="1"/>
      <c r="AX116" s="1"/>
      <c r="AY116" s="1"/>
      <c r="BA116" s="1"/>
      <c r="BB116" s="1"/>
      <c r="BC116" s="1"/>
      <c r="BD116" s="1"/>
      <c r="BE116" s="1"/>
      <c r="BG116" s="1"/>
      <c r="BH116" s="1"/>
      <c r="BI116" s="1"/>
      <c r="BK116" s="1"/>
      <c r="BL116" s="1"/>
      <c r="BM116" s="1"/>
      <c r="BO116" s="1"/>
      <c r="BP116" s="1"/>
      <c r="BR116" s="1"/>
    </row>
    <row r="117" spans="18:70" x14ac:dyDescent="0.3">
      <c r="R117" s="6" t="s">
        <v>13</v>
      </c>
      <c r="S117" s="1"/>
      <c r="T117" s="1"/>
      <c r="U117" s="1"/>
      <c r="V117" s="1"/>
      <c r="W117" s="1"/>
      <c r="X117" s="1"/>
      <c r="Y117" s="1"/>
      <c r="Z117" s="1"/>
      <c r="AA117" s="1">
        <f>$Y$19-Z3-$AA$17*(1-BR10)</f>
        <v>-58.34</v>
      </c>
      <c r="AD117" s="1"/>
      <c r="AE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R117" s="1"/>
      <c r="AT117" s="1"/>
      <c r="AU117" s="1"/>
      <c r="AV117" s="1"/>
      <c r="AW117" s="1"/>
      <c r="AX117" s="1"/>
      <c r="AY117" s="1"/>
      <c r="BA117" s="1"/>
      <c r="BB117" s="1"/>
      <c r="BC117" s="1"/>
      <c r="BD117" s="1"/>
      <c r="BE117" s="1"/>
      <c r="BG117" s="1"/>
      <c r="BH117" s="1"/>
      <c r="BI117" s="1"/>
      <c r="BK117" s="1"/>
      <c r="BL117" s="1"/>
      <c r="BM117" s="1"/>
      <c r="BO117" s="1"/>
      <c r="BP117" s="1"/>
      <c r="BR117" s="1"/>
    </row>
    <row r="118" spans="18:70" x14ac:dyDescent="0.3">
      <c r="R118" s="6" t="s">
        <v>15</v>
      </c>
      <c r="S118" s="1"/>
      <c r="T118" s="1"/>
      <c r="U118" s="1"/>
      <c r="V118" s="1"/>
      <c r="W118" s="1"/>
      <c r="X118" s="1"/>
      <c r="Y118" s="1"/>
      <c r="Z118" s="1"/>
      <c r="AA118" s="1"/>
      <c r="AD118" s="1"/>
      <c r="AE118" s="1"/>
      <c r="AF118" s="1"/>
      <c r="AG118" s="1"/>
      <c r="AH118" s="1"/>
      <c r="AI118" s="1"/>
      <c r="AJ118" s="1"/>
      <c r="AL118" s="1"/>
      <c r="AM118" s="1"/>
      <c r="AN118" s="1"/>
      <c r="AO118" s="1"/>
      <c r="AP118" s="1"/>
      <c r="AQ118" s="1"/>
      <c r="AR118" s="1"/>
      <c r="AT118" s="1"/>
      <c r="AU118" s="1"/>
      <c r="AV118" s="1"/>
      <c r="AW118" s="1"/>
      <c r="AX118" s="1"/>
      <c r="AY118" s="1"/>
      <c r="BA118" s="1"/>
      <c r="BB118" s="1"/>
      <c r="BC118" s="1"/>
      <c r="BD118" s="1"/>
      <c r="BE118" s="1"/>
      <c r="BG118" s="1"/>
      <c r="BH118" s="1"/>
      <c r="BI118" s="1"/>
      <c r="BK118" s="1"/>
      <c r="BL118" s="1"/>
      <c r="BM118" s="1"/>
      <c r="BO118" s="1"/>
      <c r="BP118" s="1"/>
      <c r="BR118" s="1"/>
    </row>
    <row r="119" spans="18:70" x14ac:dyDescent="0.3">
      <c r="AD119" s="1"/>
      <c r="AE119" s="1"/>
      <c r="AF119" s="1"/>
      <c r="AG119" s="1"/>
      <c r="AH119" s="1"/>
      <c r="AI119" s="1"/>
      <c r="AJ119" s="1"/>
      <c r="AL119" s="1"/>
      <c r="AM119" s="1"/>
      <c r="AN119" s="1"/>
      <c r="AO119" s="1"/>
      <c r="AP119" s="1"/>
      <c r="AQ119" s="1"/>
      <c r="AR119" s="1"/>
      <c r="AT119" s="1"/>
      <c r="AU119" s="1"/>
      <c r="AV119" s="1"/>
      <c r="AW119" s="1"/>
      <c r="AX119" s="1"/>
      <c r="AY119" s="1"/>
      <c r="BA119" s="1"/>
      <c r="BB119" s="1"/>
      <c r="BC119" s="1"/>
      <c r="BD119" s="1"/>
      <c r="BE119" s="1"/>
      <c r="BG119" s="1"/>
      <c r="BH119" s="1"/>
      <c r="BI119" s="1"/>
      <c r="BK119" s="1"/>
      <c r="BL119" s="1"/>
      <c r="BM119" s="1"/>
      <c r="BO119" s="1"/>
      <c r="BP119" s="1"/>
      <c r="BR119" s="1"/>
    </row>
    <row r="120" spans="18:70" x14ac:dyDescent="0.3">
      <c r="R120" t="s">
        <v>44</v>
      </c>
      <c r="AD120" s="1"/>
      <c r="AE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R120" s="1"/>
      <c r="AT120" s="1"/>
      <c r="AU120" s="1"/>
      <c r="AV120" s="1"/>
      <c r="AW120" s="1"/>
      <c r="AX120" s="1"/>
      <c r="AY120" s="1"/>
      <c r="BA120" s="1"/>
      <c r="BB120" s="1"/>
      <c r="BC120" s="1"/>
      <c r="BD120" s="1"/>
      <c r="BE120" s="1"/>
      <c r="BG120" s="1"/>
      <c r="BH120" s="1"/>
      <c r="BI120" s="1"/>
      <c r="BK120" s="1"/>
      <c r="BL120" s="1"/>
      <c r="BM120" s="1"/>
      <c r="BO120" s="1"/>
      <c r="BP120" s="1"/>
      <c r="BR120" s="1"/>
    </row>
    <row r="121" spans="18:70" x14ac:dyDescent="0.3">
      <c r="R121" s="1"/>
      <c r="S121" s="6" t="s">
        <v>1</v>
      </c>
      <c r="T121" s="6" t="s">
        <v>2</v>
      </c>
      <c r="U121" s="6" t="s">
        <v>4</v>
      </c>
      <c r="V121" s="6" t="s">
        <v>6</v>
      </c>
      <c r="W121" s="6" t="s">
        <v>8</v>
      </c>
      <c r="X121" s="6" t="s">
        <v>9</v>
      </c>
      <c r="Y121" s="6" t="s">
        <v>11</v>
      </c>
      <c r="Z121" s="6" t="s">
        <v>13</v>
      </c>
      <c r="AA121" s="6" t="s">
        <v>15</v>
      </c>
      <c r="AD121" s="1"/>
      <c r="AE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R121" s="1"/>
      <c r="AT121" s="1"/>
      <c r="AU121" s="1"/>
      <c r="AV121" s="1"/>
      <c r="AW121" s="1"/>
      <c r="AX121" s="1"/>
      <c r="AY121" s="1"/>
      <c r="BA121" s="1"/>
      <c r="BB121" s="1"/>
      <c r="BC121" s="1"/>
      <c r="BD121" s="1"/>
      <c r="BE121" s="1"/>
      <c r="BG121" s="1"/>
      <c r="BH121" s="1"/>
      <c r="BI121" s="1"/>
      <c r="BK121" s="1"/>
      <c r="BL121" s="1"/>
      <c r="BM121" s="1"/>
      <c r="BO121" s="1"/>
      <c r="BP121" s="1"/>
      <c r="BR121" s="1"/>
    </row>
    <row r="122" spans="18:70" x14ac:dyDescent="0.3">
      <c r="R122" s="6" t="s">
        <v>1</v>
      </c>
      <c r="S122" s="1"/>
      <c r="T122" s="1"/>
      <c r="U122" s="1">
        <f>$R$19-T4-$AA$17*(1-AD11)</f>
        <v>-61.480000000000004</v>
      </c>
      <c r="V122" s="1">
        <f t="shared" ref="V122:Z122" si="89">$R$19-U4-$AA$17*(1-AE11)</f>
        <v>-3.2100000000000044</v>
      </c>
      <c r="W122" s="1">
        <f t="shared" si="89"/>
        <v>-6.9900000000000126</v>
      </c>
      <c r="X122" s="1">
        <f t="shared" si="89"/>
        <v>-6.9900000000000126</v>
      </c>
      <c r="Y122" s="1">
        <f t="shared" si="89"/>
        <v>-11.560000000000016</v>
      </c>
      <c r="Z122" s="1">
        <f t="shared" si="89"/>
        <v>-13.880000000000024</v>
      </c>
      <c r="AA122" s="1">
        <f>$R$19-Z4-$AA$17*(1-AJ11)</f>
        <v>-17.260000000000034</v>
      </c>
      <c r="AD122" s="1"/>
      <c r="AE122" s="1"/>
      <c r="AF122" s="1"/>
      <c r="AG122" s="1"/>
      <c r="AH122" s="1"/>
      <c r="AI122" s="1"/>
      <c r="AJ122" s="1"/>
      <c r="AL122" s="1"/>
      <c r="AM122" s="1"/>
      <c r="AN122" s="1"/>
      <c r="AO122" s="1"/>
      <c r="AP122" s="1"/>
      <c r="AQ122" s="1"/>
      <c r="AR122" s="1"/>
      <c r="AT122" s="1"/>
      <c r="AU122" s="1"/>
      <c r="AV122" s="1"/>
      <c r="AW122" s="1"/>
      <c r="AX122" s="1"/>
      <c r="AY122" s="1"/>
      <c r="BA122" s="1"/>
      <c r="BB122" s="1"/>
      <c r="BC122" s="1"/>
      <c r="BD122" s="1"/>
      <c r="BE122" s="1"/>
      <c r="BG122" s="1"/>
      <c r="BH122" s="1"/>
      <c r="BI122" s="1"/>
      <c r="BK122" s="1"/>
      <c r="BL122" s="1"/>
      <c r="BM122" s="1"/>
      <c r="BO122" s="1"/>
      <c r="BP122" s="1"/>
      <c r="BR122" s="1"/>
    </row>
    <row r="123" spans="18:70" x14ac:dyDescent="0.3">
      <c r="R123" s="6" t="s">
        <v>2</v>
      </c>
      <c r="S123" s="1"/>
      <c r="T123" s="1"/>
      <c r="U123" s="1">
        <f>$S$19-T4-$AA$17*(1-AL11)</f>
        <v>-59.25</v>
      </c>
      <c r="V123" s="1">
        <f t="shared" ref="V123:AA123" si="90">$S$19-U4-$AA$17*(1-AM11)</f>
        <v>-0.98000000000000398</v>
      </c>
      <c r="W123" s="1">
        <f t="shared" si="90"/>
        <v>-4.7600000000000122</v>
      </c>
      <c r="X123" s="1">
        <f t="shared" si="90"/>
        <v>-4.7600000000000122</v>
      </c>
      <c r="Y123" s="1">
        <f t="shared" si="90"/>
        <v>-9.3300000000000161</v>
      </c>
      <c r="Z123" s="1">
        <f t="shared" si="90"/>
        <v>-11.650000000000023</v>
      </c>
      <c r="AA123" s="1">
        <f t="shared" si="90"/>
        <v>-15.030000000000033</v>
      </c>
      <c r="AD123" s="1"/>
      <c r="AE123" s="1"/>
      <c r="AF123" s="1"/>
      <c r="AG123" s="1"/>
      <c r="AH123" s="1"/>
      <c r="AI123" s="1"/>
      <c r="AJ123" s="1"/>
      <c r="AL123" s="1"/>
      <c r="AM123" s="1"/>
      <c r="AN123" s="1"/>
      <c r="AO123" s="1"/>
      <c r="AP123" s="1"/>
      <c r="AQ123" s="1"/>
      <c r="AR123" s="1"/>
      <c r="AT123" s="1"/>
      <c r="AU123" s="1"/>
      <c r="AV123" s="1"/>
      <c r="AW123" s="1"/>
      <c r="AX123" s="1"/>
      <c r="AY123" s="1"/>
      <c r="BA123" s="1"/>
      <c r="BB123" s="1"/>
      <c r="BC123" s="1"/>
      <c r="BD123" s="1"/>
      <c r="BE123" s="1"/>
      <c r="BG123" s="1"/>
      <c r="BH123" s="1"/>
      <c r="BI123" s="1"/>
      <c r="BK123" s="1"/>
      <c r="BL123" s="1"/>
      <c r="BM123" s="1"/>
      <c r="BO123" s="1"/>
      <c r="BP123" s="1"/>
      <c r="BR123" s="1"/>
    </row>
    <row r="124" spans="18:70" x14ac:dyDescent="0.3">
      <c r="R124" s="6" t="s">
        <v>4</v>
      </c>
      <c r="S124" s="1"/>
      <c r="T124" s="1"/>
      <c r="U124" s="1"/>
      <c r="V124" s="1">
        <f>$T$19-U4-$AA$17*(1-AT11)</f>
        <v>-59.160000000000004</v>
      </c>
      <c r="W124" s="1">
        <f t="shared" ref="W124:AA124" si="91">$T$19-V4-$AA$17*(1-AU11)</f>
        <v>-1.3400000000000052</v>
      </c>
      <c r="X124" s="1">
        <f t="shared" si="91"/>
        <v>-1.3400000000000052</v>
      </c>
      <c r="Y124" s="1">
        <f t="shared" si="91"/>
        <v>-5.910000000000009</v>
      </c>
      <c r="Z124" s="1">
        <f t="shared" si="91"/>
        <v>-8.2300000000000164</v>
      </c>
      <c r="AA124" s="1">
        <f t="shared" si="91"/>
        <v>-11.610000000000026</v>
      </c>
      <c r="AD124" s="1"/>
      <c r="AE124" s="1"/>
      <c r="AF124" s="1"/>
      <c r="AG124" s="1"/>
      <c r="AH124" s="1"/>
      <c r="AI124" s="1"/>
      <c r="AJ124" s="1"/>
      <c r="AL124" s="1"/>
      <c r="AM124" s="1"/>
      <c r="AN124" s="1"/>
      <c r="AO124" s="1"/>
      <c r="AP124" s="1"/>
      <c r="AQ124" s="1"/>
      <c r="AR124" s="1"/>
      <c r="AT124" s="1"/>
      <c r="AU124" s="1"/>
      <c r="AV124" s="1"/>
      <c r="AW124" s="1"/>
      <c r="AX124" s="1"/>
      <c r="AY124" s="1"/>
      <c r="BA124" s="1"/>
      <c r="BB124" s="1"/>
      <c r="BC124" s="1"/>
      <c r="BD124" s="1"/>
      <c r="BE124" s="1"/>
      <c r="BG124" s="1"/>
      <c r="BH124" s="1"/>
      <c r="BI124" s="1"/>
      <c r="BK124" s="1"/>
      <c r="BL124" s="1"/>
      <c r="BM124" s="1"/>
      <c r="BO124" s="1"/>
      <c r="BP124" s="1"/>
      <c r="BR124" s="1"/>
    </row>
    <row r="125" spans="18:70" x14ac:dyDescent="0.3">
      <c r="R125" s="6" t="s">
        <v>6</v>
      </c>
      <c r="S125" s="1"/>
      <c r="T125" s="1"/>
      <c r="U125" s="1"/>
      <c r="V125" s="1"/>
      <c r="W125" s="1">
        <f>$U$19-V4-$AA$17*(1-BA11)</f>
        <v>-0.20999999999999552</v>
      </c>
      <c r="X125" s="1">
        <f t="shared" ref="X125:AA125" si="92">$U$19-W4-$AA$17*(1-BB11)</f>
        <v>-0.20999999999999552</v>
      </c>
      <c r="Y125" s="1">
        <f t="shared" si="92"/>
        <v>-4.7799999999999994</v>
      </c>
      <c r="Z125" s="1">
        <f t="shared" si="92"/>
        <v>-7.1000000000000068</v>
      </c>
      <c r="AA125" s="1">
        <f t="shared" si="92"/>
        <v>-10.480000000000016</v>
      </c>
      <c r="AD125" s="1"/>
      <c r="AE125" s="1"/>
      <c r="AF125" s="1"/>
      <c r="AG125" s="1"/>
      <c r="AH125" s="1"/>
      <c r="AI125" s="1"/>
      <c r="AJ125" s="1"/>
      <c r="AL125" s="1"/>
      <c r="AM125" s="1"/>
      <c r="AN125" s="1"/>
      <c r="AO125" s="1"/>
      <c r="AP125" s="1"/>
      <c r="AQ125" s="1"/>
      <c r="AR125" s="1"/>
      <c r="AT125" s="1"/>
      <c r="AU125" s="1"/>
      <c r="AV125" s="1"/>
      <c r="AW125" s="1"/>
      <c r="AX125" s="1"/>
      <c r="AY125" s="1"/>
      <c r="BA125" s="1"/>
      <c r="BB125" s="1"/>
      <c r="BC125" s="1"/>
      <c r="BD125" s="1"/>
      <c r="BE125" s="1"/>
      <c r="BG125" s="1"/>
      <c r="BH125" s="1"/>
      <c r="BI125" s="1"/>
      <c r="BK125" s="1"/>
      <c r="BL125" s="1"/>
      <c r="BM125" s="1"/>
      <c r="BO125" s="1"/>
      <c r="BP125" s="1"/>
      <c r="BR125" s="1"/>
    </row>
    <row r="126" spans="18:70" x14ac:dyDescent="0.3">
      <c r="R126" s="6" t="s">
        <v>8</v>
      </c>
      <c r="S126" s="1"/>
      <c r="T126" s="1"/>
      <c r="U126" s="1"/>
      <c r="V126" s="1"/>
      <c r="W126" s="1"/>
      <c r="X126" s="1"/>
      <c r="Y126" s="1">
        <f>$V$19-X4-$AA$17*(1-BG11)</f>
        <v>-61.480000000000004</v>
      </c>
      <c r="Z126" s="1">
        <f t="shared" ref="Z126:AA126" si="93">$V$19-Y4-$AA$17*(1-BH11)</f>
        <v>-2.2000000000000028</v>
      </c>
      <c r="AA126" s="1">
        <f t="shared" si="93"/>
        <v>-5.5800000000000125</v>
      </c>
      <c r="AD126" s="1"/>
      <c r="AE126" s="1"/>
      <c r="AF126" s="1"/>
      <c r="AG126" s="1"/>
      <c r="AH126" s="1"/>
      <c r="AI126" s="1"/>
      <c r="AJ126" s="1"/>
      <c r="AL126" s="1"/>
      <c r="AM126" s="1"/>
      <c r="AN126" s="1"/>
      <c r="AO126" s="1"/>
      <c r="AP126" s="1"/>
      <c r="AQ126" s="1"/>
      <c r="AR126" s="1"/>
      <c r="AT126" s="1"/>
      <c r="AU126" s="1"/>
      <c r="AV126" s="1"/>
      <c r="AW126" s="1"/>
      <c r="AX126" s="1"/>
      <c r="AY126" s="1"/>
      <c r="BA126" s="1"/>
      <c r="BB126" s="1"/>
      <c r="BC126" s="1"/>
      <c r="BD126" s="1"/>
      <c r="BE126" s="1"/>
      <c r="BG126" s="1"/>
      <c r="BH126" s="1"/>
      <c r="BI126" s="1"/>
      <c r="BK126" s="1"/>
      <c r="BL126" s="1"/>
      <c r="BM126" s="1"/>
      <c r="BO126" s="1"/>
      <c r="BP126" s="1"/>
      <c r="BR126" s="1"/>
    </row>
    <row r="127" spans="18:70" x14ac:dyDescent="0.3">
      <c r="R127" s="6" t="s">
        <v>9</v>
      </c>
      <c r="S127" s="1"/>
      <c r="T127" s="1"/>
      <c r="U127" s="1"/>
      <c r="V127" s="1"/>
      <c r="W127" s="1"/>
      <c r="X127" s="1"/>
      <c r="Y127" s="1">
        <f>$W$19-X4-$AA$17*(1-BK11)</f>
        <v>-59.28</v>
      </c>
      <c r="Z127" s="1">
        <f t="shared" ref="Z127:AA127" si="94">$W$19-Y4-$AA$17*(1-BL11)</f>
        <v>-3.5527136788005009E-15</v>
      </c>
      <c r="AA127" s="1">
        <f t="shared" si="94"/>
        <v>-3.3800000000000132</v>
      </c>
      <c r="AD127" s="1"/>
      <c r="AE127" s="1"/>
      <c r="AF127" s="1"/>
      <c r="AG127" s="1"/>
      <c r="AH127" s="1"/>
      <c r="AI127" s="1"/>
      <c r="AJ127" s="1"/>
      <c r="AL127" s="1"/>
      <c r="AM127" s="1"/>
      <c r="AN127" s="1"/>
      <c r="AO127" s="1"/>
      <c r="AP127" s="1"/>
      <c r="AQ127" s="1"/>
      <c r="AR127" s="1"/>
      <c r="AT127" s="1"/>
      <c r="AU127" s="1"/>
      <c r="AV127" s="1"/>
      <c r="AW127" s="1"/>
      <c r="AX127" s="1"/>
      <c r="AY127" s="1"/>
      <c r="BA127" s="1"/>
      <c r="BB127" s="1"/>
      <c r="BC127" s="1"/>
      <c r="BD127" s="1"/>
      <c r="BE127" s="1"/>
      <c r="BG127" s="1"/>
      <c r="BH127" s="1"/>
      <c r="BI127" s="1"/>
      <c r="BK127" s="1"/>
      <c r="BL127" s="1"/>
      <c r="BM127" s="1"/>
      <c r="BO127" s="1"/>
      <c r="BP127" s="1"/>
      <c r="BR127" s="1"/>
    </row>
    <row r="128" spans="18:70" x14ac:dyDescent="0.3">
      <c r="R128" s="6" t="s">
        <v>11</v>
      </c>
      <c r="S128" s="1"/>
      <c r="T128" s="1"/>
      <c r="U128" s="1"/>
      <c r="V128" s="1"/>
      <c r="W128" s="1"/>
      <c r="X128" s="1"/>
      <c r="Y128" s="1"/>
      <c r="Z128" s="1">
        <f>$X$19-Y4-$AA$17*(1-BO11)</f>
        <v>-59.11</v>
      </c>
      <c r="AA128" s="1">
        <f>$X$19-Z4-$AA$17*(1-BP11)</f>
        <v>-0.89000000000000412</v>
      </c>
      <c r="AD128" s="1"/>
      <c r="AE128" s="1"/>
      <c r="AF128" s="1"/>
      <c r="AG128" s="1"/>
      <c r="AH128" s="1"/>
      <c r="AI128" s="1"/>
      <c r="AJ128" s="1"/>
      <c r="AL128" s="1"/>
      <c r="AM128" s="1"/>
      <c r="AN128" s="1"/>
      <c r="AO128" s="1"/>
      <c r="AP128" s="1"/>
      <c r="AQ128" s="1"/>
      <c r="AR128" s="1"/>
      <c r="AT128" s="1"/>
      <c r="AU128" s="1"/>
      <c r="AV128" s="1"/>
      <c r="AW128" s="1"/>
      <c r="AX128" s="1"/>
      <c r="AY128" s="1"/>
      <c r="BA128" s="1"/>
      <c r="BB128" s="1"/>
      <c r="BC128" s="1"/>
      <c r="BD128" s="1"/>
      <c r="BE128" s="1"/>
      <c r="BG128" s="1"/>
      <c r="BH128" s="1"/>
      <c r="BI128" s="1"/>
      <c r="BK128" s="1"/>
      <c r="BL128" s="1"/>
      <c r="BM128" s="1"/>
      <c r="BO128" s="1"/>
      <c r="BP128" s="1"/>
      <c r="BR128" s="1"/>
    </row>
    <row r="129" spans="18:70" x14ac:dyDescent="0.3">
      <c r="R129" s="6" t="s">
        <v>13</v>
      </c>
      <c r="S129" s="1"/>
      <c r="T129" s="1"/>
      <c r="U129" s="1"/>
      <c r="V129" s="1"/>
      <c r="W129" s="1"/>
      <c r="X129" s="1"/>
      <c r="Y129" s="1"/>
      <c r="Z129" s="1"/>
      <c r="AA129" s="1">
        <f>$Y$19-Z4-$AA$17*(1-BR11)</f>
        <v>-3.5527136788005009E-15</v>
      </c>
      <c r="AD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R129" s="1"/>
      <c r="AT129" s="1"/>
      <c r="AU129" s="1"/>
      <c r="AV129" s="1"/>
      <c r="AW129" s="1"/>
      <c r="AX129" s="1"/>
      <c r="AY129" s="1"/>
      <c r="BA129" s="1"/>
      <c r="BB129" s="1"/>
      <c r="BC129" s="1"/>
      <c r="BD129" s="1"/>
      <c r="BE129" s="1"/>
      <c r="BG129" s="1"/>
      <c r="BH129" s="1"/>
      <c r="BI129" s="1"/>
      <c r="BK129" s="1"/>
      <c r="BL129" s="1"/>
      <c r="BM129" s="1"/>
      <c r="BO129" s="1"/>
      <c r="BP129" s="1"/>
      <c r="BR129" s="1"/>
    </row>
    <row r="130" spans="18:70" x14ac:dyDescent="0.3">
      <c r="R130" s="6" t="s">
        <v>15</v>
      </c>
      <c r="S130" s="1"/>
      <c r="T130" s="1"/>
      <c r="U130" s="1"/>
      <c r="V130" s="1"/>
      <c r="W130" s="1"/>
      <c r="X130" s="1"/>
      <c r="Y130" s="1"/>
      <c r="Z130" s="1"/>
      <c r="AA130" s="11"/>
      <c r="AD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R130" s="1"/>
      <c r="AT130" s="1"/>
      <c r="AU130" s="1"/>
      <c r="AV130" s="1"/>
      <c r="AW130" s="1"/>
      <c r="AX130" s="1"/>
      <c r="AY130" s="1"/>
      <c r="BA130" s="1"/>
      <c r="BB130" s="1"/>
      <c r="BC130" s="1"/>
      <c r="BD130" s="1"/>
      <c r="BE130" s="1"/>
      <c r="BG130" s="1"/>
      <c r="BH130" s="1"/>
      <c r="BI130" s="1"/>
      <c r="BK130" s="1"/>
      <c r="BL130" s="1"/>
      <c r="BM130" s="1"/>
      <c r="BO130" s="1"/>
      <c r="BP130" s="1"/>
      <c r="BR130" s="1"/>
    </row>
    <row r="131" spans="18:70" x14ac:dyDescent="0.3">
      <c r="AD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R131" s="1"/>
      <c r="AT131" s="1"/>
      <c r="AU131" s="1"/>
      <c r="AV131" s="1"/>
      <c r="AW131" s="1"/>
      <c r="AX131" s="1"/>
      <c r="AY131" s="1"/>
      <c r="BA131" s="1"/>
      <c r="BB131" s="1"/>
      <c r="BC131" s="1"/>
      <c r="BD131" s="1"/>
      <c r="BE131" s="1"/>
      <c r="BG131" s="1"/>
      <c r="BH131" s="1"/>
      <c r="BI131" s="1"/>
      <c r="BK131" s="1"/>
      <c r="BL131" s="1"/>
      <c r="BM131" s="1"/>
      <c r="BO131" s="1"/>
      <c r="BP131" s="1"/>
      <c r="BR131" s="1"/>
    </row>
    <row r="132" spans="18:70" x14ac:dyDescent="0.3">
      <c r="R132" t="s">
        <v>39</v>
      </c>
      <c r="AD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R132" s="1"/>
      <c r="AT132" s="1"/>
      <c r="AU132" s="1"/>
      <c r="AV132" s="1"/>
      <c r="AW132" s="1"/>
      <c r="AX132" s="1"/>
      <c r="AY132" s="1"/>
      <c r="BA132" s="1"/>
      <c r="BB132" s="1"/>
      <c r="BC132" s="1"/>
      <c r="BD132" s="1"/>
      <c r="BE132" s="1"/>
      <c r="BG132" s="1"/>
      <c r="BH132" s="1"/>
      <c r="BI132" s="1"/>
      <c r="BK132" s="1"/>
      <c r="BL132" s="1"/>
      <c r="BM132" s="1"/>
      <c r="BO132" s="1"/>
      <c r="BP132" s="1"/>
      <c r="BR132" s="1"/>
    </row>
    <row r="133" spans="18:70" x14ac:dyDescent="0.3">
      <c r="R133" s="1"/>
      <c r="S133" s="6" t="s">
        <v>1</v>
      </c>
      <c r="T133" s="6" t="s">
        <v>2</v>
      </c>
      <c r="U133" s="6" t="s">
        <v>4</v>
      </c>
      <c r="V133" s="6" t="s">
        <v>6</v>
      </c>
      <c r="W133" s="6" t="s">
        <v>8</v>
      </c>
      <c r="X133" s="6" t="s">
        <v>9</v>
      </c>
      <c r="Y133" s="6" t="s">
        <v>11</v>
      </c>
      <c r="Z133" s="6" t="s">
        <v>13</v>
      </c>
      <c r="AA133" s="6" t="s">
        <v>15</v>
      </c>
      <c r="AD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R133" s="1"/>
      <c r="AT133" s="1"/>
      <c r="AU133" s="1"/>
      <c r="AV133" s="1"/>
      <c r="AW133" s="1"/>
      <c r="AX133" s="1"/>
      <c r="AY133" s="1"/>
      <c r="BA133" s="1"/>
      <c r="BB133" s="1"/>
      <c r="BC133" s="1"/>
      <c r="BD133" s="1"/>
      <c r="BE133" s="1"/>
      <c r="BG133" s="1"/>
      <c r="BH133" s="1"/>
      <c r="BI133" s="1"/>
      <c r="BK133" s="1"/>
      <c r="BL133" s="1"/>
      <c r="BM133" s="1"/>
      <c r="BO133" s="1"/>
      <c r="BP133" s="1"/>
      <c r="BR133" s="1"/>
    </row>
    <row r="134" spans="18:70" x14ac:dyDescent="0.3">
      <c r="R134" s="6" t="s">
        <v>1</v>
      </c>
      <c r="S134" s="1"/>
      <c r="T134" s="1"/>
      <c r="U134" s="1">
        <f>T16-$R$5-$AA$17*(1-AD12)</f>
        <v>-4.36500000000001</v>
      </c>
      <c r="V134" s="1">
        <f t="shared" ref="V134:Z134" si="95">U16-$R$5-$AA$17*(1-AE12)</f>
        <v>-3.4600000000000053</v>
      </c>
      <c r="W134" s="1">
        <f t="shared" si="95"/>
        <v>-0.24000000000001265</v>
      </c>
      <c r="X134" s="1">
        <f t="shared" si="95"/>
        <v>-58.39</v>
      </c>
      <c r="Y134" s="1">
        <f t="shared" si="95"/>
        <v>-55.83</v>
      </c>
      <c r="Z134" s="1">
        <f t="shared" si="95"/>
        <v>-54.94</v>
      </c>
      <c r="AA134" s="1">
        <f>Z16-$R$5-$AA$17*(1-AJ12)</f>
        <v>-50.16</v>
      </c>
      <c r="AD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R134" s="1"/>
      <c r="AT134" s="1"/>
      <c r="AU134" s="1"/>
      <c r="AV134" s="1"/>
      <c r="AW134" s="1"/>
      <c r="AX134" s="1"/>
      <c r="AY134" s="1"/>
      <c r="BA134" s="1"/>
      <c r="BB134" s="1"/>
      <c r="BC134" s="1"/>
      <c r="BD134" s="1"/>
      <c r="BE134" s="1"/>
      <c r="BG134" s="1"/>
      <c r="BH134" s="1"/>
      <c r="BI134" s="1"/>
      <c r="BK134" s="1"/>
      <c r="BL134" s="1"/>
      <c r="BM134" s="1"/>
      <c r="BO134" s="1"/>
      <c r="BP134" s="1"/>
      <c r="BR134" s="1"/>
    </row>
    <row r="135" spans="18:70" x14ac:dyDescent="0.3">
      <c r="R135" s="6" t="s">
        <v>2</v>
      </c>
      <c r="S135" s="1"/>
      <c r="T135" s="1"/>
      <c r="U135" s="1">
        <f>T16-$S$5-$AA$17*(1-AL12)</f>
        <v>-4.36500000000001</v>
      </c>
      <c r="V135" s="1">
        <f t="shared" ref="V135:AA135" si="96">U16-$S$5-$AA$17*(1-AM12)</f>
        <v>-3.4600000000000053</v>
      </c>
      <c r="W135" s="1">
        <f t="shared" si="96"/>
        <v>-0.24000000000001265</v>
      </c>
      <c r="X135" s="1">
        <f t="shared" si="96"/>
        <v>-58.39</v>
      </c>
      <c r="Y135" s="1">
        <f t="shared" si="96"/>
        <v>-55.83</v>
      </c>
      <c r="Z135" s="1">
        <f t="shared" si="96"/>
        <v>-54.94</v>
      </c>
      <c r="AA135" s="1">
        <f t="shared" si="96"/>
        <v>-50.16</v>
      </c>
      <c r="AD135" s="1"/>
      <c r="AE135" s="1"/>
      <c r="AF135" s="1"/>
      <c r="AG135" s="1"/>
      <c r="AH135" s="1"/>
      <c r="AI135" s="1"/>
      <c r="AJ135" s="1"/>
      <c r="AL135" s="1"/>
      <c r="AM135" s="1"/>
      <c r="AN135" s="1"/>
      <c r="AO135" s="1"/>
      <c r="AP135" s="1"/>
      <c r="AQ135" s="1"/>
      <c r="AR135" s="1"/>
      <c r="AT135" s="1"/>
      <c r="AU135" s="1"/>
      <c r="AV135" s="1"/>
      <c r="AW135" s="1"/>
      <c r="AX135" s="1"/>
      <c r="AY135" s="1"/>
      <c r="BA135" s="1"/>
      <c r="BB135" s="1"/>
      <c r="BC135" s="1"/>
      <c r="BD135" s="1"/>
      <c r="BE135" s="1"/>
      <c r="BG135" s="1"/>
      <c r="BH135" s="1"/>
      <c r="BI135" s="1"/>
      <c r="BK135" s="1"/>
      <c r="BL135" s="1"/>
      <c r="BM135" s="1"/>
      <c r="BO135" s="1"/>
      <c r="BP135" s="1"/>
      <c r="BR135" s="1"/>
    </row>
    <row r="136" spans="18:70" x14ac:dyDescent="0.3">
      <c r="R136" s="6" t="s">
        <v>4</v>
      </c>
      <c r="S136" s="1"/>
      <c r="T136" s="1"/>
      <c r="U136" s="1"/>
      <c r="V136" s="1">
        <f>U16-$T$5-$AA$17*(1-AT12)</f>
        <v>-8.9900000000000126</v>
      </c>
      <c r="W136" s="1">
        <f t="shared" ref="W136:AA136" si="97">V16-$T$5-$AA$17*(1-AU12)</f>
        <v>-5.7700000000000209</v>
      </c>
      <c r="X136" s="1">
        <f t="shared" si="97"/>
        <v>-2.3200000000000038</v>
      </c>
      <c r="Y136" s="1">
        <f t="shared" si="97"/>
        <v>-61.360000000000007</v>
      </c>
      <c r="Z136" s="1">
        <f t="shared" si="97"/>
        <v>-60.470000000000006</v>
      </c>
      <c r="AA136" s="1">
        <f t="shared" si="97"/>
        <v>-55.690000000000005</v>
      </c>
      <c r="AD136" s="1"/>
      <c r="AE136" s="1"/>
      <c r="AF136" s="1"/>
      <c r="AG136" s="1"/>
      <c r="AH136" s="1"/>
      <c r="AI136" s="1"/>
      <c r="AJ136" s="1"/>
      <c r="AL136" s="1"/>
      <c r="AM136" s="1"/>
      <c r="AN136" s="1"/>
      <c r="AO136" s="1"/>
      <c r="AP136" s="1"/>
      <c r="AQ136" s="1"/>
      <c r="AR136" s="1"/>
      <c r="AT136" s="1"/>
      <c r="AU136" s="1"/>
      <c r="AV136" s="1"/>
      <c r="AW136" s="1"/>
      <c r="AX136" s="1"/>
      <c r="AY136" s="1"/>
      <c r="BA136" s="1"/>
      <c r="BB136" s="1"/>
      <c r="BC136" s="1"/>
      <c r="BD136" s="1"/>
      <c r="BE136" s="1"/>
      <c r="BG136" s="1"/>
      <c r="BH136" s="1"/>
      <c r="BI136" s="1"/>
      <c r="BK136" s="1"/>
      <c r="BL136" s="1"/>
      <c r="BM136" s="1"/>
      <c r="BO136" s="1"/>
      <c r="BP136" s="1"/>
      <c r="BR136" s="1"/>
    </row>
    <row r="137" spans="18:70" x14ac:dyDescent="0.3">
      <c r="R137" s="6" t="s">
        <v>6</v>
      </c>
      <c r="S137" s="1"/>
      <c r="T137" s="1"/>
      <c r="U137" s="1"/>
      <c r="V137" s="1"/>
      <c r="W137" s="1">
        <f>V16-$U$5-$AA$17*(1-BA12)</f>
        <v>-6.9000000000000306</v>
      </c>
      <c r="X137" s="1">
        <f t="shared" ref="X137:AA137" si="98">W16-$U$5-$AA$17*(1-BB12)</f>
        <v>-3.4500000000000135</v>
      </c>
      <c r="Y137" s="1">
        <f t="shared" si="98"/>
        <v>-0.8900000000000059</v>
      </c>
      <c r="Z137" s="1">
        <f t="shared" si="98"/>
        <v>-5.3290705182007514E-15</v>
      </c>
      <c r="AA137" s="1">
        <f t="shared" si="98"/>
        <v>-56.820000000000014</v>
      </c>
      <c r="AD137" s="1"/>
      <c r="AE137" s="1"/>
      <c r="AF137" s="1"/>
      <c r="AG137" s="1"/>
      <c r="AH137" s="1"/>
      <c r="AI137" s="1"/>
      <c r="AJ137" s="1"/>
      <c r="AL137" s="1"/>
      <c r="AM137" s="1"/>
      <c r="AN137" s="1"/>
      <c r="AO137" s="1"/>
      <c r="AP137" s="1"/>
      <c r="AQ137" s="1"/>
      <c r="AR137" s="1"/>
      <c r="AT137" s="1"/>
      <c r="AU137" s="1"/>
      <c r="AV137" s="1"/>
      <c r="AW137" s="1"/>
      <c r="AX137" s="1"/>
      <c r="AY137" s="1"/>
      <c r="BA137" s="1"/>
      <c r="BB137" s="1"/>
      <c r="BC137" s="1"/>
      <c r="BD137" s="1"/>
      <c r="BE137" s="1"/>
      <c r="BG137" s="1"/>
      <c r="BH137" s="1"/>
      <c r="BI137" s="1"/>
      <c r="BK137" s="1"/>
      <c r="BL137" s="1"/>
      <c r="BM137" s="1"/>
      <c r="BO137" s="1"/>
      <c r="BP137" s="1"/>
      <c r="BR137" s="1"/>
    </row>
    <row r="138" spans="18:70" x14ac:dyDescent="0.3">
      <c r="R138" s="6" t="s">
        <v>8</v>
      </c>
      <c r="S138" s="1"/>
      <c r="T138" s="1"/>
      <c r="U138" s="1"/>
      <c r="V138" s="1"/>
      <c r="W138" s="1"/>
      <c r="X138" s="1"/>
      <c r="Y138" s="1">
        <f>X16-$V$5-$AA$17*(1-BG12)</f>
        <v>-5.910000000000009</v>
      </c>
      <c r="Z138" s="1">
        <f t="shared" ref="Z138:AA138" si="99">Y16-$V$5-$AA$17*(1-BH12)</f>
        <v>-5.0200000000000085</v>
      </c>
      <c r="AA138" s="1">
        <f t="shared" si="99"/>
        <v>-0.24000000000000909</v>
      </c>
      <c r="AD138" s="1"/>
      <c r="AE138" s="1"/>
      <c r="AF138" s="1"/>
      <c r="AG138" s="1"/>
      <c r="AH138" s="1"/>
      <c r="AI138" s="1"/>
      <c r="AJ138" s="1"/>
      <c r="AL138" s="1"/>
      <c r="AM138" s="1"/>
      <c r="AN138" s="1"/>
      <c r="AO138" s="1"/>
      <c r="AP138" s="1"/>
      <c r="AQ138" s="1"/>
      <c r="AR138" s="1"/>
      <c r="AT138" s="1"/>
      <c r="AU138" s="1"/>
      <c r="AV138" s="1"/>
      <c r="AW138" s="1"/>
      <c r="AX138" s="1"/>
      <c r="AY138" s="1"/>
      <c r="BA138" s="1"/>
      <c r="BB138" s="1"/>
      <c r="BC138" s="1"/>
      <c r="BD138" s="1"/>
      <c r="BE138" s="1"/>
      <c r="BG138" s="1"/>
      <c r="BH138" s="1"/>
      <c r="BI138" s="1"/>
      <c r="BK138" s="1"/>
      <c r="BL138" s="1"/>
      <c r="BM138" s="1"/>
      <c r="BO138" s="1"/>
      <c r="BP138" s="1"/>
      <c r="BR138" s="1"/>
    </row>
    <row r="139" spans="18:70" x14ac:dyDescent="0.3">
      <c r="R139" s="6" t="s">
        <v>9</v>
      </c>
      <c r="S139" s="1"/>
      <c r="T139" s="1"/>
      <c r="U139" s="1"/>
      <c r="V139" s="1"/>
      <c r="W139" s="1"/>
      <c r="X139" s="1"/>
      <c r="Y139" s="1">
        <f>X16-$W$5-$AA$17*(1-BK12)</f>
        <v>-5.910000000000009</v>
      </c>
      <c r="Z139" s="1">
        <f t="shared" ref="Z139:AA139" si="100">Y16-$W$5-$AA$17*(1-BL12)</f>
        <v>-5.0200000000000085</v>
      </c>
      <c r="AA139" s="1">
        <f t="shared" si="100"/>
        <v>-0.24000000000000909</v>
      </c>
      <c r="AD139" s="1"/>
      <c r="AE139" s="1"/>
      <c r="AF139" s="1"/>
      <c r="AG139" s="1"/>
      <c r="AH139" s="1"/>
      <c r="AI139" s="1"/>
      <c r="AJ139" s="1"/>
      <c r="AL139" s="1"/>
      <c r="AM139" s="1"/>
      <c r="AN139" s="1"/>
      <c r="AO139" s="1"/>
      <c r="AP139" s="1"/>
      <c r="AQ139" s="1"/>
      <c r="AR139" s="1"/>
      <c r="AT139" s="1"/>
      <c r="AU139" s="1"/>
      <c r="AV139" s="1"/>
      <c r="AW139" s="1"/>
      <c r="AX139" s="1"/>
      <c r="AY139" s="1"/>
      <c r="BA139" s="1"/>
      <c r="BB139" s="1"/>
      <c r="BC139" s="1"/>
      <c r="BD139" s="1"/>
      <c r="BE139" s="1"/>
      <c r="BG139" s="1"/>
      <c r="BH139" s="1"/>
      <c r="BI139" s="1"/>
      <c r="BK139" s="1"/>
      <c r="BL139" s="1"/>
      <c r="BM139" s="1"/>
      <c r="BO139" s="1"/>
      <c r="BP139" s="1"/>
      <c r="BR139" s="1"/>
    </row>
    <row r="140" spans="18:70" x14ac:dyDescent="0.3">
      <c r="R140" s="6" t="s">
        <v>11</v>
      </c>
      <c r="S140" s="1"/>
      <c r="T140" s="1"/>
      <c r="U140" s="1"/>
      <c r="V140" s="1"/>
      <c r="W140" s="1"/>
      <c r="X140" s="1"/>
      <c r="Y140" s="1"/>
      <c r="Z140" s="1">
        <f>Y16-$X$5-$AA$17*(1-BO12)</f>
        <v>-9.5900000000000158</v>
      </c>
      <c r="AA140" s="1">
        <f>Z16-$X$5-$AA$17*(1-BP12)</f>
        <v>-4.8100000000000165</v>
      </c>
      <c r="AD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R140" s="1"/>
      <c r="AT140" s="1"/>
      <c r="AU140" s="1"/>
      <c r="AV140" s="1"/>
      <c r="AW140" s="1"/>
      <c r="AX140" s="1"/>
      <c r="AY140" s="1"/>
      <c r="BA140" s="1"/>
      <c r="BB140" s="1"/>
      <c r="BC140" s="1"/>
      <c r="BD140" s="1"/>
      <c r="BE140" s="1"/>
      <c r="BG140" s="1"/>
      <c r="BH140" s="1"/>
      <c r="BI140" s="1"/>
      <c r="BK140" s="1"/>
      <c r="BL140" s="1"/>
      <c r="BM140" s="1"/>
      <c r="BO140" s="1"/>
      <c r="BP140" s="1"/>
      <c r="BR140" s="1"/>
    </row>
    <row r="141" spans="18:70" x14ac:dyDescent="0.3">
      <c r="R141" s="6" t="s">
        <v>13</v>
      </c>
      <c r="S141" s="1"/>
      <c r="T141" s="1"/>
      <c r="U141" s="1"/>
      <c r="V141" s="1"/>
      <c r="W141" s="1"/>
      <c r="X141" s="1"/>
      <c r="Y141" s="1"/>
      <c r="Z141" s="1"/>
      <c r="AA141" s="1">
        <f>Z16-$Y$5-$AA$17*(1-BR12)</f>
        <v>-5.7000000000000171</v>
      </c>
      <c r="AD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R141" s="1"/>
      <c r="AT141" s="1"/>
      <c r="AU141" s="1"/>
      <c r="AV141" s="1"/>
      <c r="AW141" s="1"/>
      <c r="AX141" s="1"/>
      <c r="AY141" s="1"/>
      <c r="BA141" s="1"/>
      <c r="BB141" s="1"/>
      <c r="BC141" s="1"/>
      <c r="BD141" s="1"/>
      <c r="BE141" s="1"/>
      <c r="BG141" s="1"/>
      <c r="BH141" s="1"/>
      <c r="BI141" s="1"/>
      <c r="BK141" s="1"/>
      <c r="BL141" s="1"/>
      <c r="BM141" s="1"/>
      <c r="BO141" s="1"/>
      <c r="BP141" s="1"/>
      <c r="BR141" s="1"/>
    </row>
    <row r="142" spans="18:70" x14ac:dyDescent="0.3">
      <c r="R142" s="6" t="s">
        <v>15</v>
      </c>
      <c r="S142" s="1"/>
      <c r="T142" s="1"/>
      <c r="U142" s="1"/>
      <c r="V142" s="1"/>
      <c r="W142" s="1"/>
      <c r="X142" s="1"/>
      <c r="Y142" s="1"/>
      <c r="Z142" s="1"/>
      <c r="AA142" s="11"/>
      <c r="AD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R142" s="1"/>
      <c r="AT142" s="1"/>
      <c r="AU142" s="1"/>
      <c r="AV142" s="1"/>
      <c r="AW142" s="1"/>
      <c r="AX142" s="1"/>
      <c r="AY142" s="1"/>
      <c r="BA142" s="1"/>
      <c r="BB142" s="1"/>
      <c r="BC142" s="1"/>
      <c r="BD142" s="1"/>
      <c r="BE142" s="1"/>
      <c r="BG142" s="1"/>
      <c r="BH142" s="1"/>
      <c r="BI142" s="1"/>
      <c r="BK142" s="1"/>
      <c r="BL142" s="1"/>
      <c r="BM142" s="1"/>
      <c r="BO142" s="1"/>
      <c r="BP142" s="1"/>
      <c r="BR142" s="1"/>
    </row>
    <row r="143" spans="18:70" x14ac:dyDescent="0.3">
      <c r="AD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T143" s="1"/>
      <c r="AU143" s="1"/>
      <c r="AV143" s="1"/>
      <c r="AW143" s="1"/>
      <c r="AX143" s="1"/>
      <c r="AY143" s="1"/>
      <c r="BA143" s="1"/>
      <c r="BB143" s="1"/>
      <c r="BC143" s="1"/>
      <c r="BD143" s="1"/>
      <c r="BE143" s="1"/>
      <c r="BG143" s="1"/>
      <c r="BH143" s="1"/>
      <c r="BI143" s="1"/>
      <c r="BK143" s="1"/>
      <c r="BL143" s="1"/>
      <c r="BM143" s="1"/>
      <c r="BO143" s="1"/>
      <c r="BP143" s="1"/>
      <c r="BR143" s="1"/>
    </row>
    <row r="144" spans="18:70" x14ac:dyDescent="0.3">
      <c r="R144" t="s">
        <v>41</v>
      </c>
      <c r="AD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T144" s="1"/>
      <c r="AU144" s="1"/>
      <c r="AV144" s="1"/>
      <c r="AW144" s="1"/>
      <c r="AX144" s="1"/>
      <c r="AY144" s="1"/>
      <c r="BA144" s="1"/>
      <c r="BB144" s="1"/>
      <c r="BC144" s="1"/>
      <c r="BD144" s="1"/>
      <c r="BE144" s="1"/>
      <c r="BG144" s="1"/>
      <c r="BH144" s="1"/>
      <c r="BI144" s="1"/>
      <c r="BK144" s="1"/>
      <c r="BL144" s="1"/>
      <c r="BM144" s="1"/>
      <c r="BO144" s="1"/>
      <c r="BP144" s="1"/>
      <c r="BR144" s="1"/>
    </row>
    <row r="145" spans="18:70" x14ac:dyDescent="0.3">
      <c r="R145" s="1"/>
      <c r="S145" s="6" t="s">
        <v>1</v>
      </c>
      <c r="T145" s="6" t="s">
        <v>2</v>
      </c>
      <c r="U145" s="6" t="s">
        <v>4</v>
      </c>
      <c r="V145" s="6" t="s">
        <v>6</v>
      </c>
      <c r="W145" s="6" t="s">
        <v>8</v>
      </c>
      <c r="X145" s="6" t="s">
        <v>9</v>
      </c>
      <c r="Y145" s="6" t="s">
        <v>11</v>
      </c>
      <c r="Z145" s="6" t="s">
        <v>13</v>
      </c>
      <c r="AA145" s="6" t="s">
        <v>15</v>
      </c>
      <c r="AD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R145" s="1"/>
      <c r="AT145" s="1"/>
      <c r="AU145" s="1"/>
      <c r="AV145" s="1"/>
      <c r="AW145" s="1"/>
      <c r="AX145" s="1"/>
      <c r="AY145" s="1"/>
      <c r="BA145" s="1"/>
      <c r="BB145" s="1"/>
      <c r="BC145" s="1"/>
      <c r="BD145" s="1"/>
      <c r="BE145" s="1"/>
      <c r="BG145" s="1"/>
      <c r="BH145" s="1"/>
      <c r="BI145" s="1"/>
      <c r="BK145" s="1"/>
      <c r="BL145" s="1"/>
      <c r="BM145" s="1"/>
      <c r="BO145" s="1"/>
      <c r="BP145" s="1"/>
      <c r="BR145" s="1"/>
    </row>
    <row r="146" spans="18:70" x14ac:dyDescent="0.3">
      <c r="R146" s="6" t="s">
        <v>1</v>
      </c>
      <c r="S146" s="1"/>
      <c r="T146" s="1"/>
      <c r="U146" s="1">
        <f>T17-$R$5-$AA$17*(1-AD13)</f>
        <v>-2.9050000000000056</v>
      </c>
      <c r="V146" s="1">
        <f t="shared" ref="V146:Z146" si="101">U17-$R$5-$AA$17*(1-AE13)</f>
        <v>-0.12000000000000988</v>
      </c>
      <c r="W146" s="1">
        <f t="shared" si="101"/>
        <v>-58.269999999999996</v>
      </c>
      <c r="X146" s="1">
        <f t="shared" si="101"/>
        <v>-56.07</v>
      </c>
      <c r="Y146" s="1">
        <f t="shared" si="101"/>
        <v>-54.61</v>
      </c>
      <c r="Z146" s="1">
        <f t="shared" si="101"/>
        <v>-50.039999999999992</v>
      </c>
      <c r="AA146" s="1">
        <f>Z17-$R$5-$AA$17*(1-AJ13)</f>
        <v>-45.34999999999998</v>
      </c>
    </row>
    <row r="147" spans="18:70" x14ac:dyDescent="0.3">
      <c r="R147" s="6" t="s">
        <v>2</v>
      </c>
      <c r="S147" s="1"/>
      <c r="T147" s="1"/>
      <c r="U147" s="1">
        <f>T17-$S$5-$AA$17*(1-AL13)</f>
        <v>-2.9050000000000056</v>
      </c>
      <c r="V147" s="1">
        <f t="shared" ref="V147:AA147" si="102">U17-$S$5-$AA$17*(1-AM13)</f>
        <v>-0.12000000000000988</v>
      </c>
      <c r="W147" s="1">
        <f t="shared" si="102"/>
        <v>-58.269999999999996</v>
      </c>
      <c r="X147" s="1">
        <f t="shared" si="102"/>
        <v>-56.07</v>
      </c>
      <c r="Y147" s="1">
        <f t="shared" si="102"/>
        <v>-54.61</v>
      </c>
      <c r="Z147" s="1">
        <f t="shared" si="102"/>
        <v>-50.039999999999992</v>
      </c>
      <c r="AA147" s="1">
        <f t="shared" si="102"/>
        <v>-45.34999999999998</v>
      </c>
    </row>
    <row r="148" spans="18:70" x14ac:dyDescent="0.3">
      <c r="R148" s="6" t="s">
        <v>4</v>
      </c>
      <c r="S148" s="1"/>
      <c r="T148" s="1"/>
      <c r="U148" s="1"/>
      <c r="V148" s="1">
        <f>U17-$T$5-$AA$17*(1-AT13)</f>
        <v>-5.6500000000000181</v>
      </c>
      <c r="W148" s="1">
        <f t="shared" ref="W148:AA148" si="103">V17-$T$5-$AA$17*(1-AU13)</f>
        <v>-2.1999999999999993</v>
      </c>
      <c r="X148" s="1">
        <f t="shared" si="103"/>
        <v>0</v>
      </c>
      <c r="Y148" s="1">
        <f t="shared" si="103"/>
        <v>-60.140000000000008</v>
      </c>
      <c r="Z148" s="1">
        <f t="shared" si="103"/>
        <v>-55.570000000000007</v>
      </c>
      <c r="AA148" s="1">
        <f t="shared" si="103"/>
        <v>-50.879999999999988</v>
      </c>
    </row>
    <row r="149" spans="18:70" x14ac:dyDescent="0.3">
      <c r="R149" s="6" t="s">
        <v>6</v>
      </c>
      <c r="S149" s="1"/>
      <c r="T149" s="1"/>
      <c r="U149" s="1"/>
      <c r="V149" s="1"/>
      <c r="W149" s="1">
        <f>V17-$U$5-$AA$17*(1-BA13)</f>
        <v>-3.330000000000009</v>
      </c>
      <c r="X149" s="1">
        <f t="shared" ref="X149:AA149" si="104">W17-$U$5-$AA$17*(1-BB13)</f>
        <v>-1.1300000000000097</v>
      </c>
      <c r="Y149" s="1">
        <f>X17-$U$5-$AA$17*(1-BC13)</f>
        <v>-61.270000000000017</v>
      </c>
      <c r="Z149" s="1">
        <f t="shared" si="104"/>
        <v>-56.700000000000017</v>
      </c>
      <c r="AA149" s="1">
        <f t="shared" si="104"/>
        <v>-52.01</v>
      </c>
    </row>
    <row r="150" spans="18:70" x14ac:dyDescent="0.3">
      <c r="R150" s="6" t="s">
        <v>8</v>
      </c>
      <c r="S150" s="1"/>
      <c r="T150" s="1"/>
      <c r="U150" s="1"/>
      <c r="V150" s="1"/>
      <c r="W150" s="1"/>
      <c r="X150" s="1"/>
      <c r="Y150" s="1">
        <f>X17-$V$5-$AA$17*(1-BG13)</f>
        <v>-4.6900000000000137</v>
      </c>
      <c r="Z150" s="1">
        <f t="shared" ref="Z150:AA150" si="105">Y17-$V$5-$AA$17*(1-BH13)</f>
        <v>-0.1200000000000081</v>
      </c>
      <c r="AA150" s="1">
        <f t="shared" si="105"/>
        <v>-57.03</v>
      </c>
    </row>
    <row r="151" spans="18:70" x14ac:dyDescent="0.3">
      <c r="R151" s="6" t="s">
        <v>9</v>
      </c>
      <c r="S151" s="1"/>
      <c r="T151" s="1"/>
      <c r="U151" s="1"/>
      <c r="V151" s="1"/>
      <c r="W151" s="1"/>
      <c r="X151" s="1"/>
      <c r="Y151" s="1">
        <f>X17-$W$5-$AA$17*(1-BK13)</f>
        <v>-4.6900000000000137</v>
      </c>
      <c r="Z151" s="1">
        <f t="shared" ref="Z151:AA151" si="106">Y17-$W$5-$AA$17*(1-BL13)</f>
        <v>-0.1200000000000081</v>
      </c>
      <c r="AA151" s="1">
        <f t="shared" si="106"/>
        <v>-57.03</v>
      </c>
    </row>
    <row r="152" spans="18:70" x14ac:dyDescent="0.3">
      <c r="R152" s="6" t="s">
        <v>11</v>
      </c>
      <c r="S152" s="1"/>
      <c r="T152" s="1"/>
      <c r="U152" s="1"/>
      <c r="V152" s="1"/>
      <c r="W152" s="1"/>
      <c r="X152" s="1"/>
      <c r="Y152" s="1"/>
      <c r="Z152" s="1">
        <f>Y17-$X$5-$AA$17*(1-BO13)</f>
        <v>-4.6900000000000155</v>
      </c>
      <c r="AA152" s="1">
        <f>Z17-$X$5-$AA$17*(1-BP13)</f>
        <v>0</v>
      </c>
    </row>
    <row r="153" spans="18:70" x14ac:dyDescent="0.3">
      <c r="R153" s="6" t="s">
        <v>13</v>
      </c>
      <c r="S153" s="1"/>
      <c r="T153" s="1"/>
      <c r="U153" s="1"/>
      <c r="V153" s="1"/>
      <c r="W153" s="1"/>
      <c r="X153" s="1"/>
      <c r="Y153" s="1"/>
      <c r="Z153" s="1"/>
      <c r="AA153" s="1">
        <f>Z17-$Y$5-$AA$17*(1-BR13)</f>
        <v>-0.89000000000000057</v>
      </c>
    </row>
    <row r="154" spans="18:70" x14ac:dyDescent="0.3">
      <c r="R154" s="6" t="s">
        <v>15</v>
      </c>
      <c r="S154" s="1"/>
      <c r="T154" s="1"/>
      <c r="U154" s="1"/>
      <c r="V154" s="1"/>
      <c r="W154" s="1"/>
      <c r="X154" s="1"/>
      <c r="Y154" s="1"/>
      <c r="Z154" s="1"/>
      <c r="AA154" s="11"/>
    </row>
    <row r="157" spans="18:70" x14ac:dyDescent="0.3">
      <c r="R157" t="s">
        <v>42</v>
      </c>
    </row>
    <row r="158" spans="18:70" x14ac:dyDescent="0.3">
      <c r="R158" s="1"/>
      <c r="S158" s="6" t="s">
        <v>1</v>
      </c>
      <c r="T158" s="6" t="s">
        <v>2</v>
      </c>
      <c r="U158" s="6" t="s">
        <v>4</v>
      </c>
      <c r="V158" s="6" t="s">
        <v>6</v>
      </c>
      <c r="W158" s="6" t="s">
        <v>8</v>
      </c>
      <c r="X158" s="6" t="s">
        <v>9</v>
      </c>
      <c r="Y158" s="6" t="s">
        <v>11</v>
      </c>
      <c r="Z158" s="6" t="s">
        <v>13</v>
      </c>
      <c r="AA158" s="6" t="s">
        <v>15</v>
      </c>
    </row>
    <row r="159" spans="18:70" x14ac:dyDescent="0.3">
      <c r="R159" s="6" t="s">
        <v>1</v>
      </c>
      <c r="S159" s="1"/>
      <c r="T159" s="1"/>
      <c r="U159" s="1">
        <f>T18-$R$5-$AA$17*(1-AD14)</f>
        <v>-5.3290705182007514E-15</v>
      </c>
      <c r="V159" s="1">
        <f t="shared" ref="V159:Z159" si="107">U18-$R$5-$AA$17*(1-AE14)</f>
        <v>-58.27</v>
      </c>
      <c r="W159" s="1">
        <f t="shared" si="107"/>
        <v>-54.61</v>
      </c>
      <c r="X159" s="1">
        <f t="shared" si="107"/>
        <v>-52.41</v>
      </c>
      <c r="Y159" s="1">
        <f t="shared" si="107"/>
        <v>-49.919999999999987</v>
      </c>
      <c r="Z159" s="1">
        <f t="shared" si="107"/>
        <v>-47.59999999999998</v>
      </c>
      <c r="AA159" s="1">
        <f>Z18-$R$5-$AA$17*(1-AJ14)</f>
        <v>-42.089999999999975</v>
      </c>
    </row>
    <row r="160" spans="18:70" x14ac:dyDescent="0.3">
      <c r="R160" s="6" t="s">
        <v>2</v>
      </c>
      <c r="S160" s="1"/>
      <c r="T160" s="1"/>
      <c r="U160" s="1">
        <f>T18-$S$5-$AA$17*(1-AL14)</f>
        <v>-5.3290705182007514E-15</v>
      </c>
      <c r="V160" s="1">
        <f t="shared" ref="V160:AA160" si="108">U18-$S$5-$AA$17*(1-AM14)</f>
        <v>-58.27</v>
      </c>
      <c r="W160" s="1">
        <f t="shared" si="108"/>
        <v>-54.61</v>
      </c>
      <c r="X160" s="1">
        <f t="shared" si="108"/>
        <v>-52.41</v>
      </c>
      <c r="Y160" s="1">
        <f t="shared" si="108"/>
        <v>-49.919999999999987</v>
      </c>
      <c r="Z160" s="1">
        <f t="shared" si="108"/>
        <v>-47.59999999999998</v>
      </c>
      <c r="AA160" s="1">
        <f t="shared" si="108"/>
        <v>-42.089999999999975</v>
      </c>
    </row>
    <row r="161" spans="18:27" x14ac:dyDescent="0.3">
      <c r="R161" s="6" t="s">
        <v>4</v>
      </c>
      <c r="S161" s="1"/>
      <c r="T161" s="1"/>
      <c r="U161" s="1"/>
      <c r="V161" s="1">
        <f>U18-$T$5-$AA$17*(1-AT14)</f>
        <v>-2.2000000000000046</v>
      </c>
      <c r="W161" s="1">
        <f>V18-$T$5-$AA$17*(1-AU14)</f>
        <v>-60.14</v>
      </c>
      <c r="X161" s="1">
        <f t="shared" ref="X161:AA161" si="109">W18-$T$5-$AA$17*(1-AV14)</f>
        <v>-57.940000000000005</v>
      </c>
      <c r="Y161" s="1">
        <f t="shared" si="109"/>
        <v>-55.45</v>
      </c>
      <c r="Z161" s="1">
        <f t="shared" si="109"/>
        <v>-53.129999999999995</v>
      </c>
      <c r="AA161" s="1">
        <f t="shared" si="109"/>
        <v>-47.619999999999983</v>
      </c>
    </row>
    <row r="162" spans="18:27" x14ac:dyDescent="0.3">
      <c r="R162" s="6" t="s">
        <v>6</v>
      </c>
      <c r="S162" s="1"/>
      <c r="T162" s="1"/>
      <c r="U162" s="1"/>
      <c r="V162" s="1"/>
      <c r="W162" s="1">
        <f>V18-$U$5-$AA$17*(1-BA14)</f>
        <v>-61.27000000000001</v>
      </c>
      <c r="X162" s="1">
        <f t="shared" ref="X162:AA162" si="110">W18-$U$5-$AA$17*(1-BB14)</f>
        <v>-59.070000000000014</v>
      </c>
      <c r="Y162" s="1">
        <f>X18-$U$5-$AA$17*(1-BC14)</f>
        <v>-56.580000000000013</v>
      </c>
      <c r="Z162" s="1">
        <f t="shared" si="110"/>
        <v>-54.260000000000005</v>
      </c>
      <c r="AA162" s="1">
        <f t="shared" si="110"/>
        <v>-48.749999999999993</v>
      </c>
    </row>
    <row r="163" spans="18:27" x14ac:dyDescent="0.3">
      <c r="R163" s="6" t="s">
        <v>8</v>
      </c>
      <c r="S163" s="1"/>
      <c r="T163" s="1"/>
      <c r="U163" s="1"/>
      <c r="V163" s="1"/>
      <c r="W163" s="1"/>
      <c r="X163" s="1"/>
      <c r="Y163" s="1">
        <f>X18-$V$5-$AA$17*(1-BG14)</f>
        <v>-3.5527136788005009E-15</v>
      </c>
      <c r="Z163" s="1">
        <f t="shared" ref="Z163:AA163" si="111">Y18-$V$5-$AA$17*(1-BH14)</f>
        <v>-59.28</v>
      </c>
      <c r="AA163" s="1">
        <f t="shared" si="111"/>
        <v>-53.769999999999996</v>
      </c>
    </row>
    <row r="164" spans="18:27" x14ac:dyDescent="0.3">
      <c r="R164" s="6" t="s">
        <v>9</v>
      </c>
      <c r="S164" s="1"/>
      <c r="T164" s="1"/>
      <c r="U164" s="1"/>
      <c r="V164" s="1"/>
      <c r="W164" s="1"/>
      <c r="X164" s="1"/>
      <c r="Y164" s="1">
        <f>X18-$W$5-$AA$17*(1-BK14)</f>
        <v>-3.5527136788005009E-15</v>
      </c>
      <c r="Z164" s="1">
        <f t="shared" ref="Z164" si="112">Y18-$W$5-$AA$17*(1-BL14)</f>
        <v>-59.28</v>
      </c>
      <c r="AA164" s="1">
        <f>Z18-$W$5-$AA$17*(1-BM14)</f>
        <v>-53.769999999999996</v>
      </c>
    </row>
    <row r="165" spans="18:27" x14ac:dyDescent="0.3">
      <c r="R165" s="6" t="s">
        <v>11</v>
      </c>
      <c r="S165" s="1"/>
      <c r="T165" s="1"/>
      <c r="U165" s="1"/>
      <c r="V165" s="1"/>
      <c r="W165" s="1"/>
      <c r="X165" s="1"/>
      <c r="Y165" s="1"/>
      <c r="Z165" s="1">
        <f>Y18-$X$5-$AA$17*(1-BO14)</f>
        <v>-2.2500000000000036</v>
      </c>
      <c r="AA165" s="1">
        <f>Z18-$X$5-$AA$17*(1-BP14)</f>
        <v>-58.34</v>
      </c>
    </row>
    <row r="166" spans="18:27" x14ac:dyDescent="0.3">
      <c r="R166" s="6" t="s">
        <v>13</v>
      </c>
      <c r="S166" s="1"/>
      <c r="T166" s="1"/>
      <c r="U166" s="1"/>
      <c r="V166" s="1"/>
      <c r="W166" s="1"/>
      <c r="X166" s="1"/>
      <c r="Y166" s="1"/>
      <c r="Z166" s="1"/>
      <c r="AA166" s="1">
        <f>Z18-$Y$5-$AA$17*(1-BR14)</f>
        <v>-59.230000000000004</v>
      </c>
    </row>
    <row r="167" spans="18:27" x14ac:dyDescent="0.3">
      <c r="R167" s="6" t="s">
        <v>15</v>
      </c>
      <c r="S167" s="1"/>
      <c r="T167" s="1"/>
      <c r="U167" s="1"/>
      <c r="V167" s="1"/>
      <c r="W167" s="1"/>
      <c r="X167" s="1"/>
      <c r="Y167" s="1"/>
      <c r="Z167" s="1"/>
      <c r="AA167" s="1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8614-7BF3-4FBF-ABE6-EBF89A479D55}">
  <dimension ref="A1:BR145"/>
  <sheetViews>
    <sheetView zoomScale="68" zoomScaleNormal="68" workbookViewId="0">
      <selection activeCell="N28" sqref="N28"/>
    </sheetView>
  </sheetViews>
  <sheetFormatPr defaultRowHeight="14.4" x14ac:dyDescent="0.3"/>
  <cols>
    <col min="3" max="3" width="13.33203125" bestFit="1" customWidth="1"/>
    <col min="18" max="18" width="12.5546875" bestFit="1" customWidth="1"/>
    <col min="32" max="32" width="13.21875" bestFit="1" customWidth="1"/>
  </cols>
  <sheetData>
    <row r="1" spans="1:70" x14ac:dyDescent="0.3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6" t="s">
        <v>15</v>
      </c>
      <c r="R1" s="3" t="s">
        <v>1</v>
      </c>
      <c r="S1" s="3" t="s">
        <v>2</v>
      </c>
      <c r="T1" s="3" t="s">
        <v>4</v>
      </c>
      <c r="U1" s="3" t="s">
        <v>6</v>
      </c>
      <c r="V1" s="3" t="s">
        <v>8</v>
      </c>
      <c r="W1" s="3" t="s">
        <v>9</v>
      </c>
      <c r="X1" s="3" t="s">
        <v>11</v>
      </c>
      <c r="Y1" s="3" t="s">
        <v>13</v>
      </c>
      <c r="Z1" s="3" t="s">
        <v>15</v>
      </c>
      <c r="AG1" t="s">
        <v>36</v>
      </c>
    </row>
    <row r="2" spans="1:70" x14ac:dyDescent="0.3">
      <c r="A2" s="1" t="s">
        <v>16</v>
      </c>
      <c r="B2" s="1">
        <v>0</v>
      </c>
      <c r="C2" s="1">
        <v>2.23</v>
      </c>
      <c r="D2" s="1">
        <v>1.34</v>
      </c>
      <c r="E2" s="1">
        <v>0.12</v>
      </c>
      <c r="F2" s="1">
        <v>0.77</v>
      </c>
      <c r="G2" s="1">
        <v>0.12</v>
      </c>
      <c r="H2" s="1">
        <v>2</v>
      </c>
      <c r="I2" s="1">
        <v>0</v>
      </c>
      <c r="J2" s="1">
        <v>2.2000000000000002</v>
      </c>
      <c r="K2" s="1">
        <v>1.34</v>
      </c>
      <c r="L2" s="1">
        <v>0.12</v>
      </c>
      <c r="M2" s="1">
        <v>0.77</v>
      </c>
      <c r="N2" s="1">
        <v>0.12</v>
      </c>
      <c r="O2" s="1">
        <v>2</v>
      </c>
      <c r="P2" s="1">
        <v>2.25</v>
      </c>
      <c r="Q2" t="s">
        <v>31</v>
      </c>
      <c r="R2" s="1">
        <f t="shared" ref="R2:S4" si="0">B16</f>
        <v>0</v>
      </c>
      <c r="S2" s="1">
        <f t="shared" si="0"/>
        <v>0</v>
      </c>
      <c r="T2" s="1">
        <f>E16</f>
        <v>3.569999999991508</v>
      </c>
      <c r="U2" s="1">
        <f>G16</f>
        <v>4.4599999999915081</v>
      </c>
      <c r="V2" s="1">
        <f t="shared" ref="V2:W4" si="1">I16</f>
        <v>7.8200000000000278</v>
      </c>
      <c r="W2" s="1">
        <f t="shared" si="1"/>
        <v>8.710000000000047</v>
      </c>
      <c r="X2" s="1">
        <f>L16</f>
        <v>13.35</v>
      </c>
      <c r="Y2" s="1">
        <f>N16</f>
        <v>14.570000000000142</v>
      </c>
      <c r="Z2" s="1">
        <f>P16</f>
        <v>17.820000000000153</v>
      </c>
      <c r="AA2" t="s">
        <v>17</v>
      </c>
      <c r="AD2" s="6" t="s">
        <v>4</v>
      </c>
      <c r="AE2" s="6" t="s">
        <v>6</v>
      </c>
      <c r="AF2" s="6" t="s">
        <v>8</v>
      </c>
      <c r="AG2" s="6" t="s">
        <v>9</v>
      </c>
      <c r="AH2" s="6" t="s">
        <v>11</v>
      </c>
      <c r="AI2" s="6" t="s">
        <v>13</v>
      </c>
      <c r="AJ2" s="6" t="s">
        <v>15</v>
      </c>
      <c r="AL2" s="6" t="s">
        <v>4</v>
      </c>
      <c r="AM2" s="6" t="s">
        <v>6</v>
      </c>
      <c r="AN2" s="6" t="s">
        <v>8</v>
      </c>
      <c r="AO2" s="6" t="s">
        <v>9</v>
      </c>
      <c r="AP2" s="6" t="s">
        <v>11</v>
      </c>
      <c r="AQ2" s="6" t="s">
        <v>13</v>
      </c>
      <c r="AR2" s="6" t="s">
        <v>15</v>
      </c>
      <c r="AT2" s="6" t="s">
        <v>6</v>
      </c>
      <c r="AU2" s="6" t="s">
        <v>8</v>
      </c>
      <c r="AV2" s="6" t="s">
        <v>9</v>
      </c>
      <c r="AW2" s="6" t="s">
        <v>11</v>
      </c>
      <c r="AX2" s="6" t="s">
        <v>13</v>
      </c>
      <c r="AY2" s="6" t="s">
        <v>15</v>
      </c>
      <c r="BA2" s="6" t="s">
        <v>8</v>
      </c>
      <c r="BB2" s="6" t="s">
        <v>9</v>
      </c>
      <c r="BC2" s="6" t="s">
        <v>11</v>
      </c>
      <c r="BD2" s="6" t="s">
        <v>13</v>
      </c>
      <c r="BE2" s="6" t="s">
        <v>15</v>
      </c>
      <c r="BG2" s="6" t="s">
        <v>11</v>
      </c>
      <c r="BH2" s="6" t="s">
        <v>13</v>
      </c>
      <c r="BI2" s="6" t="s">
        <v>15</v>
      </c>
      <c r="BK2" s="6" t="s">
        <v>11</v>
      </c>
      <c r="BL2" s="6" t="s">
        <v>13</v>
      </c>
      <c r="BM2" s="6" t="s">
        <v>15</v>
      </c>
      <c r="BO2" s="6" t="s">
        <v>13</v>
      </c>
      <c r="BP2" s="6" t="s">
        <v>15</v>
      </c>
      <c r="BR2" s="6" t="s">
        <v>15</v>
      </c>
    </row>
    <row r="3" spans="1:70" x14ac:dyDescent="0.3">
      <c r="A3" s="1" t="s">
        <v>18</v>
      </c>
      <c r="B3" s="1">
        <v>1.3399999999914893</v>
      </c>
      <c r="C3" s="1">
        <v>0.89000000000851065</v>
      </c>
      <c r="D3" s="1">
        <v>1.34</v>
      </c>
      <c r="E3" s="1">
        <v>0.12</v>
      </c>
      <c r="F3" s="1">
        <v>0.77</v>
      </c>
      <c r="G3" s="1">
        <v>0.12</v>
      </c>
      <c r="H3" s="1">
        <v>2</v>
      </c>
      <c r="I3" s="1">
        <v>0.76999999999995072</v>
      </c>
      <c r="J3" s="1">
        <v>1.4300000000000495</v>
      </c>
      <c r="K3" s="1">
        <v>1.34</v>
      </c>
      <c r="L3" s="1">
        <v>0.12</v>
      </c>
      <c r="M3" s="1">
        <v>0.77</v>
      </c>
      <c r="N3" s="1">
        <v>0.12</v>
      </c>
      <c r="O3" s="1">
        <v>2</v>
      </c>
      <c r="P3" s="1">
        <v>2.25</v>
      </c>
      <c r="Q3" t="s">
        <v>32</v>
      </c>
      <c r="R3" s="1">
        <f t="shared" si="0"/>
        <v>2.23</v>
      </c>
      <c r="S3" s="1">
        <f t="shared" si="0"/>
        <v>4.5799999999915126</v>
      </c>
      <c r="T3" s="1">
        <f>E17</f>
        <v>6.8100000000000236</v>
      </c>
      <c r="U3" s="1">
        <f>G17</f>
        <v>7.7</v>
      </c>
      <c r="V3" s="1">
        <f t="shared" si="1"/>
        <v>11.030000000000097</v>
      </c>
      <c r="W3" s="1">
        <f t="shared" si="1"/>
        <v>11.920000000000098</v>
      </c>
      <c r="X3" s="1">
        <f>L17</f>
        <v>14.690000000000147</v>
      </c>
      <c r="Y3" s="1">
        <f>N17</f>
        <v>16.570000000000142</v>
      </c>
      <c r="Z3" s="1">
        <f>P17</f>
        <v>20.190000000000158</v>
      </c>
      <c r="AC3" s="25" t="s">
        <v>46</v>
      </c>
      <c r="AD3" s="26">
        <v>1</v>
      </c>
      <c r="AE3" s="26">
        <v>1</v>
      </c>
      <c r="AF3" s="26">
        <v>1</v>
      </c>
      <c r="AG3" s="26">
        <v>1</v>
      </c>
      <c r="AH3" s="26">
        <v>1</v>
      </c>
      <c r="AI3" s="26">
        <v>1</v>
      </c>
      <c r="AJ3" s="26">
        <v>1</v>
      </c>
      <c r="AK3" s="25"/>
      <c r="AL3" s="26">
        <v>0</v>
      </c>
      <c r="AM3" s="26">
        <v>0</v>
      </c>
      <c r="AN3" s="26">
        <v>1</v>
      </c>
      <c r="AO3" s="26">
        <v>1</v>
      </c>
      <c r="AP3" s="26">
        <v>1</v>
      </c>
      <c r="AQ3" s="26">
        <v>1</v>
      </c>
      <c r="AR3" s="26">
        <v>1</v>
      </c>
      <c r="AS3" s="25"/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6">
        <v>1</v>
      </c>
      <c r="AZ3" s="25"/>
      <c r="BA3" s="26">
        <v>1</v>
      </c>
      <c r="BB3" s="26">
        <v>1</v>
      </c>
      <c r="BC3" s="26">
        <v>1</v>
      </c>
      <c r="BD3" s="26">
        <v>1</v>
      </c>
      <c r="BE3" s="26">
        <v>1</v>
      </c>
      <c r="BF3" s="25"/>
      <c r="BG3" s="26">
        <v>1</v>
      </c>
      <c r="BH3" s="26">
        <v>1</v>
      </c>
      <c r="BI3" s="26">
        <v>1</v>
      </c>
      <c r="BJ3" s="25"/>
      <c r="BK3" s="26">
        <v>1</v>
      </c>
      <c r="BL3" s="26">
        <v>1</v>
      </c>
      <c r="BM3" s="26">
        <v>1</v>
      </c>
      <c r="BN3" s="25"/>
      <c r="BO3" s="26">
        <v>0</v>
      </c>
      <c r="BP3" s="26">
        <v>1</v>
      </c>
      <c r="BQ3" s="25"/>
      <c r="BR3" s="26">
        <v>1</v>
      </c>
    </row>
    <row r="4" spans="1:70" x14ac:dyDescent="0.3">
      <c r="A4" s="1" t="s">
        <v>26</v>
      </c>
      <c r="B4" s="1">
        <v>1.3399999999999817</v>
      </c>
      <c r="C4" s="1">
        <v>0.89000000000001833</v>
      </c>
      <c r="D4" s="1">
        <v>1.34</v>
      </c>
      <c r="E4" s="1">
        <v>0.12</v>
      </c>
      <c r="F4" s="1">
        <v>0.77</v>
      </c>
      <c r="G4" s="1">
        <v>0.12</v>
      </c>
      <c r="H4" s="1">
        <v>2</v>
      </c>
      <c r="I4" s="1">
        <v>0.65</v>
      </c>
      <c r="J4" s="1">
        <v>1.55</v>
      </c>
      <c r="K4" s="1">
        <v>1.34</v>
      </c>
      <c r="L4" s="1">
        <v>0.12</v>
      </c>
      <c r="M4" s="1">
        <v>0.77</v>
      </c>
      <c r="N4" s="1">
        <v>0.12</v>
      </c>
      <c r="O4" s="1">
        <v>2</v>
      </c>
      <c r="P4" s="1">
        <v>2.25</v>
      </c>
      <c r="Q4" t="s">
        <v>33</v>
      </c>
      <c r="R4" s="6">
        <f>B18</f>
        <v>5.4700000000000237</v>
      </c>
      <c r="S4" s="6">
        <f t="shared" si="0"/>
        <v>7.8200000000000278</v>
      </c>
      <c r="T4" s="6">
        <f>E18</f>
        <v>10.910000000000093</v>
      </c>
      <c r="U4" s="6">
        <f>G18</f>
        <v>11.8</v>
      </c>
      <c r="V4" s="6">
        <f t="shared" si="1"/>
        <v>13.920000000000094</v>
      </c>
      <c r="W4" s="6">
        <f t="shared" si="1"/>
        <v>14.810000000000151</v>
      </c>
      <c r="X4" s="6">
        <f>L18</f>
        <v>17.7</v>
      </c>
      <c r="Y4" s="6">
        <f>N18</f>
        <v>20.070000000000153</v>
      </c>
      <c r="Z4" s="6">
        <f>P18</f>
        <v>22.440000000000158</v>
      </c>
      <c r="AC4" s="25" t="s">
        <v>49</v>
      </c>
      <c r="AD4" s="26">
        <v>0</v>
      </c>
      <c r="AE4" s="26">
        <v>0</v>
      </c>
      <c r="AF4" s="26">
        <v>1</v>
      </c>
      <c r="AG4" s="26">
        <v>1</v>
      </c>
      <c r="AH4" s="26">
        <v>1</v>
      </c>
      <c r="AI4" s="26">
        <v>1</v>
      </c>
      <c r="AJ4" s="26">
        <v>1</v>
      </c>
      <c r="AK4" s="25"/>
      <c r="AL4" s="26">
        <v>0</v>
      </c>
      <c r="AM4" s="26">
        <v>0</v>
      </c>
      <c r="AN4" s="26">
        <v>0</v>
      </c>
      <c r="AO4" s="26">
        <v>1</v>
      </c>
      <c r="AP4" s="26">
        <v>1</v>
      </c>
      <c r="AQ4" s="26">
        <v>1</v>
      </c>
      <c r="AR4" s="26">
        <v>1</v>
      </c>
      <c r="AS4" s="25"/>
      <c r="AT4" s="26">
        <v>0</v>
      </c>
      <c r="AU4" s="26">
        <v>0</v>
      </c>
      <c r="AV4" s="26">
        <v>0</v>
      </c>
      <c r="AW4" s="26">
        <v>1</v>
      </c>
      <c r="AX4" s="26">
        <v>1</v>
      </c>
      <c r="AY4" s="26">
        <v>1</v>
      </c>
      <c r="AZ4" s="25"/>
      <c r="BA4" s="26">
        <v>0</v>
      </c>
      <c r="BB4" s="26">
        <v>0</v>
      </c>
      <c r="BC4" s="26">
        <v>1</v>
      </c>
      <c r="BD4" s="26">
        <v>1</v>
      </c>
      <c r="BE4" s="26">
        <v>1</v>
      </c>
      <c r="BF4" s="25"/>
      <c r="BG4" s="26">
        <v>0</v>
      </c>
      <c r="BH4" s="26">
        <v>1</v>
      </c>
      <c r="BI4" s="26">
        <v>1</v>
      </c>
      <c r="BJ4" s="25"/>
      <c r="BK4" s="26">
        <v>0</v>
      </c>
      <c r="BL4" s="26">
        <v>0</v>
      </c>
      <c r="BM4" s="26">
        <v>1</v>
      </c>
      <c r="BN4" s="25"/>
      <c r="BO4" s="26">
        <v>0</v>
      </c>
      <c r="BP4" s="26">
        <v>1</v>
      </c>
      <c r="BQ4" s="25"/>
      <c r="BR4" s="26">
        <v>0</v>
      </c>
    </row>
    <row r="5" spans="1:70" x14ac:dyDescent="0.3">
      <c r="AC5" t="s">
        <v>50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/>
      <c r="AL5" s="1">
        <v>0</v>
      </c>
      <c r="AM5" s="1">
        <v>0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/>
      <c r="AT5" s="1">
        <v>0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/>
      <c r="BA5" s="1">
        <v>0</v>
      </c>
      <c r="BB5" s="1">
        <v>1</v>
      </c>
      <c r="BC5" s="1">
        <v>1</v>
      </c>
      <c r="BD5" s="1">
        <v>1</v>
      </c>
      <c r="BE5" s="1">
        <v>1</v>
      </c>
      <c r="BF5" s="1"/>
      <c r="BG5" s="1">
        <v>1</v>
      </c>
      <c r="BH5" s="1">
        <v>1</v>
      </c>
      <c r="BI5" s="1">
        <v>1</v>
      </c>
      <c r="BJ5" s="1"/>
      <c r="BK5" s="1">
        <v>0</v>
      </c>
      <c r="BL5" s="1">
        <v>1</v>
      </c>
      <c r="BM5" s="1">
        <v>1</v>
      </c>
      <c r="BN5" s="1"/>
      <c r="BO5" s="1">
        <v>0</v>
      </c>
      <c r="BP5" s="1">
        <v>1</v>
      </c>
      <c r="BQ5" s="1"/>
      <c r="BR5" s="1">
        <v>1</v>
      </c>
    </row>
    <row r="6" spans="1:70" x14ac:dyDescent="0.3">
      <c r="K6">
        <f>2.25-1.34</f>
        <v>0.90999999999999992</v>
      </c>
      <c r="AC6" s="27" t="s">
        <v>47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/>
      <c r="AL6" s="28">
        <v>1</v>
      </c>
      <c r="AM6" s="28">
        <v>1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/>
      <c r="AT6" s="28">
        <v>1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/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/>
      <c r="BG6" s="28">
        <v>0</v>
      </c>
      <c r="BH6" s="28">
        <v>0</v>
      </c>
      <c r="BI6" s="28">
        <v>0</v>
      </c>
      <c r="BJ6" s="28"/>
      <c r="BK6" s="28">
        <v>0</v>
      </c>
      <c r="BL6" s="28">
        <v>0</v>
      </c>
      <c r="BM6" s="28">
        <v>0</v>
      </c>
      <c r="BN6" s="28"/>
      <c r="BO6" s="28">
        <v>1</v>
      </c>
      <c r="BP6" s="28">
        <v>0</v>
      </c>
      <c r="BQ6" s="28"/>
      <c r="BR6" s="28">
        <v>0</v>
      </c>
    </row>
    <row r="7" spans="1:70" x14ac:dyDescent="0.3">
      <c r="AC7" s="27" t="s">
        <v>51</v>
      </c>
      <c r="AD7" s="28">
        <v>1</v>
      </c>
      <c r="AE7" s="28">
        <v>1</v>
      </c>
      <c r="AF7" s="28">
        <v>0</v>
      </c>
      <c r="AG7" s="28">
        <v>0</v>
      </c>
      <c r="AH7" s="28">
        <v>0</v>
      </c>
      <c r="AI7" s="28">
        <v>0</v>
      </c>
      <c r="AJ7" s="27">
        <v>0</v>
      </c>
      <c r="AK7" s="27"/>
      <c r="AL7" s="28">
        <v>1</v>
      </c>
      <c r="AM7" s="28">
        <v>1</v>
      </c>
      <c r="AN7" s="28">
        <v>1</v>
      </c>
      <c r="AO7" s="28">
        <v>0</v>
      </c>
      <c r="AP7" s="28">
        <v>0</v>
      </c>
      <c r="AQ7" s="28">
        <v>0</v>
      </c>
      <c r="AR7" s="28">
        <v>0</v>
      </c>
      <c r="AS7" s="27"/>
      <c r="AT7" s="28">
        <v>1</v>
      </c>
      <c r="AU7" s="28">
        <v>1</v>
      </c>
      <c r="AV7" s="28">
        <v>1</v>
      </c>
      <c r="AW7" s="28">
        <v>0</v>
      </c>
      <c r="AX7" s="28">
        <v>0</v>
      </c>
      <c r="AY7" s="28">
        <v>0</v>
      </c>
      <c r="AZ7" s="27"/>
      <c r="BA7" s="28">
        <v>1</v>
      </c>
      <c r="BB7" s="28">
        <v>1</v>
      </c>
      <c r="BC7" s="28">
        <v>0</v>
      </c>
      <c r="BD7" s="28">
        <v>0</v>
      </c>
      <c r="BE7" s="28">
        <v>0</v>
      </c>
      <c r="BF7" s="27"/>
      <c r="BG7" s="28">
        <v>1</v>
      </c>
      <c r="BH7" s="28">
        <v>0</v>
      </c>
      <c r="BI7" s="28">
        <v>0</v>
      </c>
      <c r="BJ7" s="27"/>
      <c r="BK7" s="28">
        <v>1</v>
      </c>
      <c r="BL7" s="28">
        <v>1</v>
      </c>
      <c r="BM7" s="28">
        <v>0</v>
      </c>
      <c r="BN7" s="27"/>
      <c r="BO7" s="28">
        <v>1</v>
      </c>
      <c r="BP7" s="28">
        <v>0</v>
      </c>
      <c r="BQ7" s="27"/>
      <c r="BR7" s="28">
        <v>1</v>
      </c>
    </row>
    <row r="8" spans="1:70" x14ac:dyDescent="0.3">
      <c r="A8" t="s">
        <v>19</v>
      </c>
      <c r="B8" s="9">
        <f>SUM(B2:C2)</f>
        <v>2.23</v>
      </c>
      <c r="C8" s="9"/>
      <c r="I8" s="9">
        <f>SUM(I2:J2)</f>
        <v>2.2000000000000002</v>
      </c>
      <c r="J8" s="9"/>
      <c r="AC8" t="s">
        <v>52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1">
        <v>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G8" s="1">
        <v>0</v>
      </c>
      <c r="BH8" s="1">
        <v>0</v>
      </c>
      <c r="BI8" s="1">
        <v>0</v>
      </c>
      <c r="BK8" s="1">
        <v>1</v>
      </c>
      <c r="BL8" s="1">
        <v>0</v>
      </c>
      <c r="BM8" s="1">
        <v>0</v>
      </c>
      <c r="BO8" s="1">
        <v>1</v>
      </c>
      <c r="BP8" s="1">
        <v>0</v>
      </c>
      <c r="BR8" s="1">
        <v>0</v>
      </c>
    </row>
    <row r="9" spans="1:70" x14ac:dyDescent="0.3">
      <c r="A9" t="s">
        <v>20</v>
      </c>
      <c r="B9" s="10">
        <f>SUM(B3:C3)</f>
        <v>2.23</v>
      </c>
      <c r="C9" s="10"/>
      <c r="I9" s="9">
        <f t="shared" ref="I9:I10" si="2">SUM(I3:J3)</f>
        <v>2.2000000000000002</v>
      </c>
      <c r="J9" s="10"/>
      <c r="AD9" s="1">
        <f>SUM(AD3:AD8)</f>
        <v>3</v>
      </c>
      <c r="AE9" s="1">
        <f t="shared" ref="AE9:BR9" si="3">SUM(AE3:AE8)</f>
        <v>3</v>
      </c>
      <c r="AF9" s="1">
        <f t="shared" si="3"/>
        <v>3</v>
      </c>
      <c r="AG9" s="1">
        <f t="shared" si="3"/>
        <v>3</v>
      </c>
      <c r="AH9" s="1">
        <f t="shared" si="3"/>
        <v>3</v>
      </c>
      <c r="AI9" s="1">
        <f t="shared" si="3"/>
        <v>3</v>
      </c>
      <c r="AJ9" s="1">
        <f t="shared" si="3"/>
        <v>3</v>
      </c>
      <c r="AK9" s="1">
        <f t="shared" si="3"/>
        <v>0</v>
      </c>
      <c r="AL9" s="1">
        <f t="shared" si="3"/>
        <v>3</v>
      </c>
      <c r="AM9" s="1">
        <f t="shared" si="3"/>
        <v>3</v>
      </c>
      <c r="AN9" s="1">
        <f t="shared" si="3"/>
        <v>3</v>
      </c>
      <c r="AO9" s="1">
        <f t="shared" si="3"/>
        <v>3</v>
      </c>
      <c r="AP9" s="1">
        <f t="shared" si="3"/>
        <v>3</v>
      </c>
      <c r="AQ9" s="1">
        <f t="shared" si="3"/>
        <v>3</v>
      </c>
      <c r="AR9" s="1">
        <f t="shared" si="3"/>
        <v>3</v>
      </c>
      <c r="AS9" s="1">
        <f t="shared" si="3"/>
        <v>0</v>
      </c>
      <c r="AT9" s="1">
        <f t="shared" si="3"/>
        <v>3</v>
      </c>
      <c r="AU9" s="1">
        <f t="shared" si="3"/>
        <v>3</v>
      </c>
      <c r="AV9" s="1">
        <f t="shared" si="3"/>
        <v>3</v>
      </c>
      <c r="AW9" s="1">
        <f t="shared" si="3"/>
        <v>3</v>
      </c>
      <c r="AX9" s="1">
        <f t="shared" si="3"/>
        <v>3</v>
      </c>
      <c r="AY9" s="1">
        <f t="shared" si="3"/>
        <v>3</v>
      </c>
      <c r="AZ9" s="1">
        <f t="shared" si="3"/>
        <v>0</v>
      </c>
      <c r="BA9" s="1">
        <f t="shared" si="3"/>
        <v>3</v>
      </c>
      <c r="BB9" s="1">
        <f t="shared" si="3"/>
        <v>3</v>
      </c>
      <c r="BC9" s="1">
        <f t="shared" si="3"/>
        <v>3</v>
      </c>
      <c r="BD9" s="1">
        <f t="shared" si="3"/>
        <v>3</v>
      </c>
      <c r="BE9" s="1">
        <f t="shared" si="3"/>
        <v>3</v>
      </c>
      <c r="BF9" s="1">
        <f t="shared" si="3"/>
        <v>0</v>
      </c>
      <c r="BG9" s="1">
        <f t="shared" si="3"/>
        <v>3</v>
      </c>
      <c r="BH9" s="1">
        <f t="shared" si="3"/>
        <v>3</v>
      </c>
      <c r="BI9" s="1">
        <f t="shared" si="3"/>
        <v>3</v>
      </c>
      <c r="BJ9" s="1">
        <f t="shared" si="3"/>
        <v>0</v>
      </c>
      <c r="BK9" s="1">
        <f t="shared" si="3"/>
        <v>3</v>
      </c>
      <c r="BL9" s="1">
        <f t="shared" si="3"/>
        <v>3</v>
      </c>
      <c r="BM9" s="1">
        <f t="shared" si="3"/>
        <v>3</v>
      </c>
      <c r="BN9" s="1">
        <f t="shared" si="3"/>
        <v>0</v>
      </c>
      <c r="BO9" s="1">
        <f t="shared" si="3"/>
        <v>3</v>
      </c>
      <c r="BP9" s="1">
        <f t="shared" si="3"/>
        <v>3</v>
      </c>
      <c r="BQ9" s="1">
        <f t="shared" si="3"/>
        <v>0</v>
      </c>
      <c r="BR9" s="1">
        <f t="shared" si="3"/>
        <v>3</v>
      </c>
    </row>
    <row r="10" spans="1:70" x14ac:dyDescent="0.3">
      <c r="A10" t="s">
        <v>28</v>
      </c>
      <c r="B10" s="9">
        <f>SUM(B4:C4)</f>
        <v>2.23</v>
      </c>
      <c r="C10" s="2"/>
      <c r="I10" s="9">
        <f t="shared" si="2"/>
        <v>2.2000000000000002</v>
      </c>
      <c r="J10" s="2"/>
      <c r="AD10" s="1"/>
      <c r="AE10" s="1"/>
      <c r="AF10" s="1"/>
      <c r="AG10" s="1"/>
      <c r="AH10" s="1"/>
      <c r="AI10" s="1"/>
      <c r="AJ10" s="1"/>
      <c r="AL10" s="1"/>
      <c r="AM10" s="1"/>
      <c r="AN10" s="1"/>
      <c r="AO10" s="1"/>
      <c r="AP10" s="1"/>
      <c r="AQ10" s="1"/>
      <c r="AR10" s="1"/>
      <c r="AT10" s="1"/>
      <c r="AU10" s="1"/>
      <c r="AV10" s="1"/>
      <c r="AW10" s="1"/>
      <c r="AX10" s="1"/>
      <c r="AY10" s="1"/>
      <c r="BA10" s="1"/>
      <c r="BB10" s="1"/>
      <c r="BC10" s="1"/>
      <c r="BD10" s="1"/>
      <c r="BE10" s="1"/>
      <c r="BG10" s="1"/>
      <c r="BH10" s="1"/>
      <c r="BI10" s="1"/>
      <c r="BK10" s="1"/>
      <c r="BL10" s="1"/>
      <c r="BM10" s="1"/>
      <c r="BO10" s="1"/>
      <c r="BP10" s="1"/>
      <c r="BR10" s="1"/>
    </row>
    <row r="11" spans="1:70" x14ac:dyDescent="0.3">
      <c r="B11" s="2"/>
      <c r="C11" s="2"/>
      <c r="I11" s="2"/>
      <c r="J11" s="2"/>
      <c r="AD11" s="1"/>
      <c r="AE11" s="1"/>
      <c r="AF11" s="1"/>
      <c r="AG11" s="1"/>
      <c r="AH11" s="1"/>
      <c r="AI11" s="1"/>
      <c r="AJ11" s="1"/>
      <c r="AL11" s="1"/>
      <c r="AM11" s="1"/>
      <c r="AN11" s="1"/>
      <c r="AO11" s="1"/>
      <c r="AP11" s="1"/>
      <c r="AQ11" s="1"/>
      <c r="AR11" s="1"/>
      <c r="AT11" s="1"/>
      <c r="AU11" s="1"/>
      <c r="AV11" s="1"/>
      <c r="AW11" s="1"/>
      <c r="AX11" s="1"/>
      <c r="AY11" s="1"/>
      <c r="BA11" s="1"/>
      <c r="BB11" s="1"/>
      <c r="BC11" s="1"/>
      <c r="BD11" s="1"/>
      <c r="BE11" s="1"/>
      <c r="BG11" s="1"/>
      <c r="BH11" s="1"/>
      <c r="BI11" s="1"/>
      <c r="BK11" s="1"/>
      <c r="BL11" s="1"/>
      <c r="BM11" s="1"/>
      <c r="BO11" s="1"/>
      <c r="BP11" s="1"/>
      <c r="BR11" s="1"/>
    </row>
    <row r="12" spans="1:70" x14ac:dyDescent="0.3">
      <c r="B12" s="2"/>
      <c r="C12" s="2"/>
      <c r="I12" s="2"/>
      <c r="J12" s="2"/>
      <c r="AD12" s="1"/>
      <c r="AE12" s="1"/>
      <c r="AF12" s="1"/>
      <c r="AG12" s="1"/>
      <c r="AH12" s="1"/>
      <c r="AI12" s="1"/>
      <c r="AJ12" s="1"/>
      <c r="AL12" s="1"/>
      <c r="AM12" s="1"/>
      <c r="AN12" s="1"/>
      <c r="AO12" s="1"/>
      <c r="AP12" s="1"/>
      <c r="AQ12" s="1"/>
      <c r="AR12" s="1"/>
      <c r="AT12" s="1"/>
      <c r="AU12" s="1"/>
      <c r="AV12" s="1"/>
      <c r="AW12" s="1"/>
      <c r="AX12" s="1"/>
      <c r="AY12" s="1"/>
      <c r="BA12" s="1"/>
      <c r="BB12" s="1"/>
      <c r="BC12" s="1"/>
      <c r="BD12" s="1"/>
      <c r="BE12" s="1"/>
      <c r="BG12" s="1"/>
      <c r="BH12" s="1"/>
      <c r="BI12" s="1"/>
      <c r="BK12" s="1"/>
      <c r="BL12" s="1"/>
      <c r="BM12" s="1"/>
      <c r="BO12" s="1"/>
      <c r="BP12" s="1"/>
      <c r="BR12" s="1"/>
    </row>
    <row r="13" spans="1:70" x14ac:dyDescent="0.3">
      <c r="B13" s="2"/>
      <c r="C13" s="2"/>
      <c r="I13" s="2"/>
      <c r="J13" s="2"/>
      <c r="AA13" t="s">
        <v>21</v>
      </c>
      <c r="AD13" s="1"/>
      <c r="AE13" s="1"/>
      <c r="AF13" s="1"/>
      <c r="AG13" s="1"/>
      <c r="AH13" s="1"/>
      <c r="AI13" s="1"/>
      <c r="AJ13" s="1"/>
      <c r="AL13" s="1"/>
      <c r="AM13" s="1"/>
      <c r="AN13" s="1"/>
      <c r="AO13" s="1"/>
      <c r="AP13" s="1"/>
      <c r="AQ13" s="1"/>
      <c r="AR13" s="1"/>
      <c r="AT13" s="1"/>
      <c r="AU13" s="1"/>
      <c r="AV13" s="1"/>
      <c r="AW13" s="1"/>
      <c r="AX13" s="1"/>
      <c r="AY13" s="1"/>
      <c r="BA13" s="1"/>
      <c r="BB13" s="1"/>
      <c r="BC13" s="1"/>
      <c r="BD13" s="1"/>
      <c r="BE13" s="1"/>
      <c r="BG13" s="1"/>
      <c r="BH13" s="1"/>
      <c r="BI13" s="1"/>
      <c r="BK13" s="1"/>
      <c r="BL13" s="1"/>
      <c r="BM13" s="1"/>
      <c r="BO13" s="1"/>
      <c r="BP13" s="1"/>
      <c r="BR13" s="1"/>
    </row>
    <row r="14" spans="1:70" x14ac:dyDescent="0.3">
      <c r="A14" t="s">
        <v>22</v>
      </c>
      <c r="AD14" s="1"/>
      <c r="AE14" s="1"/>
      <c r="AF14" s="1"/>
      <c r="AG14" s="1"/>
      <c r="AH14" s="1"/>
      <c r="AI14" s="1"/>
      <c r="AJ14" s="1"/>
      <c r="AL14" s="1"/>
      <c r="AM14" s="1"/>
      <c r="AN14" s="1"/>
      <c r="AO14" s="1"/>
      <c r="AP14" s="1"/>
      <c r="AQ14" s="1"/>
      <c r="AR14" s="1"/>
      <c r="AT14" s="1"/>
      <c r="AU14" s="1"/>
      <c r="AV14" s="1"/>
      <c r="AW14" s="1"/>
      <c r="AX14" s="1"/>
      <c r="AY14" s="1"/>
      <c r="BA14" s="1"/>
      <c r="BB14" s="1"/>
      <c r="BC14" s="1"/>
      <c r="BD14" s="1"/>
      <c r="BE14" s="1"/>
      <c r="BG14" s="1"/>
      <c r="BH14" s="1"/>
      <c r="BI14" s="1"/>
      <c r="BK14" s="1"/>
      <c r="BL14" s="1"/>
      <c r="BM14" s="1"/>
      <c r="BO14" s="1"/>
      <c r="BP14" s="1"/>
      <c r="BR14" s="1"/>
    </row>
    <row r="15" spans="1:70" x14ac:dyDescent="0.3">
      <c r="B15" s="3" t="s">
        <v>1</v>
      </c>
      <c r="C15" s="3" t="s">
        <v>2</v>
      </c>
      <c r="D15" t="s">
        <v>3</v>
      </c>
      <c r="E15" s="3" t="s">
        <v>4</v>
      </c>
      <c r="F15" t="s">
        <v>5</v>
      </c>
      <c r="G15" s="3" t="s">
        <v>6</v>
      </c>
      <c r="H15" t="s">
        <v>7</v>
      </c>
      <c r="I15" s="3" t="s">
        <v>8</v>
      </c>
      <c r="J15" s="3" t="s">
        <v>9</v>
      </c>
      <c r="K15" t="s">
        <v>10</v>
      </c>
      <c r="L15" s="3" t="s">
        <v>11</v>
      </c>
      <c r="M15" t="s">
        <v>12</v>
      </c>
      <c r="N15" s="3" t="s">
        <v>13</v>
      </c>
      <c r="O15" t="s">
        <v>14</v>
      </c>
      <c r="P15" s="3" t="s">
        <v>15</v>
      </c>
      <c r="R15" s="3" t="s">
        <v>1</v>
      </c>
      <c r="S15" s="3" t="s">
        <v>2</v>
      </c>
      <c r="T15" s="3" t="s">
        <v>4</v>
      </c>
      <c r="U15" s="3" t="s">
        <v>6</v>
      </c>
      <c r="V15" s="3" t="s">
        <v>8</v>
      </c>
      <c r="W15" s="3" t="s">
        <v>9</v>
      </c>
      <c r="X15" s="3" t="s">
        <v>11</v>
      </c>
      <c r="Y15" s="3" t="s">
        <v>13</v>
      </c>
      <c r="Z15" s="3" t="s">
        <v>15</v>
      </c>
      <c r="AD15" s="1"/>
      <c r="AE15" s="1"/>
      <c r="AF15" s="1"/>
      <c r="AG15" s="1"/>
      <c r="AH15" s="1"/>
      <c r="AI15" s="1"/>
      <c r="AJ15" s="1"/>
      <c r="AL15" s="1"/>
      <c r="AM15" s="1"/>
      <c r="AN15" s="1"/>
      <c r="AO15" s="1"/>
      <c r="AP15" s="1"/>
      <c r="AQ15" s="1"/>
      <c r="AR15" s="1"/>
      <c r="AT15" s="1"/>
      <c r="AU15" s="1"/>
      <c r="AV15" s="1"/>
      <c r="AW15" s="1"/>
      <c r="AX15" s="1"/>
      <c r="AY15" s="1"/>
      <c r="BA15" s="1"/>
      <c r="BB15" s="1"/>
      <c r="BC15" s="1"/>
      <c r="BD15" s="1"/>
      <c r="BE15" s="1"/>
      <c r="BG15" s="1"/>
      <c r="BH15" s="1"/>
      <c r="BI15" s="1"/>
      <c r="BK15" s="1"/>
      <c r="BL15" s="1"/>
      <c r="BM15" s="1"/>
      <c r="BO15" s="1"/>
      <c r="BP15" s="1"/>
      <c r="BR15" s="1"/>
    </row>
    <row r="16" spans="1:70" x14ac:dyDescent="0.3">
      <c r="A16" s="1" t="s">
        <v>16</v>
      </c>
      <c r="B16" s="1">
        <v>0</v>
      </c>
      <c r="C16" s="1">
        <v>0</v>
      </c>
      <c r="D16" s="1">
        <v>2.23</v>
      </c>
      <c r="E16" s="1">
        <v>3.569999999991508</v>
      </c>
      <c r="F16" s="1">
        <v>3.6899999999915081</v>
      </c>
      <c r="G16" s="1">
        <v>4.4599999999915081</v>
      </c>
      <c r="H16" s="1">
        <v>4.5799999999915082</v>
      </c>
      <c r="I16" s="1">
        <v>7.8200000000000278</v>
      </c>
      <c r="J16" s="1">
        <v>8.710000000000047</v>
      </c>
      <c r="K16" s="1">
        <v>10.910000000000093</v>
      </c>
      <c r="L16" s="1">
        <v>13.35</v>
      </c>
      <c r="M16" s="1">
        <v>13.470000000000146</v>
      </c>
      <c r="N16" s="17">
        <v>14.570000000000142</v>
      </c>
      <c r="O16" s="1">
        <v>14.690000000000142</v>
      </c>
      <c r="P16" s="1">
        <v>17.820000000000153</v>
      </c>
      <c r="Q16" s="22" t="s">
        <v>31</v>
      </c>
      <c r="R16" s="1">
        <f t="shared" ref="R16:S18" si="4">B30</f>
        <v>0</v>
      </c>
      <c r="S16" s="1">
        <f t="shared" si="4"/>
        <v>2.23</v>
      </c>
      <c r="T16" s="1">
        <f>E30</f>
        <v>3.6899999999915081</v>
      </c>
      <c r="U16" s="1">
        <f>G30</f>
        <v>4.5799999999915082</v>
      </c>
      <c r="V16" s="1">
        <f t="shared" ref="V16:W18" si="5">I30</f>
        <v>7.8200000000000278</v>
      </c>
      <c r="W16" s="1">
        <f t="shared" si="5"/>
        <v>10.910000000000046</v>
      </c>
      <c r="X16" s="1">
        <f>L30</f>
        <v>13.469999999999999</v>
      </c>
      <c r="Y16" s="1">
        <f>N30</f>
        <v>14.690000000000142</v>
      </c>
      <c r="Z16" s="1">
        <f>P30</f>
        <v>20.070000000000153</v>
      </c>
      <c r="AD16" s="1"/>
      <c r="AE16" s="1"/>
      <c r="AF16" s="1"/>
      <c r="AG16" s="1"/>
      <c r="AH16" s="1"/>
      <c r="AI16" s="1"/>
      <c r="AJ16" s="1"/>
      <c r="AL16" s="1"/>
      <c r="AM16" s="1"/>
      <c r="AN16" s="1"/>
      <c r="AO16" s="1"/>
      <c r="AP16" s="1"/>
      <c r="AQ16" s="1"/>
      <c r="AR16" s="1"/>
      <c r="AT16" s="1"/>
      <c r="AU16" s="1"/>
      <c r="AV16" s="1"/>
      <c r="AW16" s="1"/>
      <c r="AX16" s="1"/>
      <c r="AY16" s="1"/>
      <c r="BA16" s="1"/>
      <c r="BB16" s="1"/>
      <c r="BC16" s="1"/>
      <c r="BD16" s="1"/>
      <c r="BE16" s="1"/>
      <c r="BG16" s="1"/>
      <c r="BH16" s="1"/>
      <c r="BI16" s="1"/>
      <c r="BK16" s="1"/>
      <c r="BL16" s="1"/>
      <c r="BM16" s="1"/>
      <c r="BO16" s="1"/>
      <c r="BP16" s="1"/>
      <c r="BR16" s="1"/>
    </row>
    <row r="17" spans="1:70" x14ac:dyDescent="0.3">
      <c r="A17" s="1" t="s">
        <v>18</v>
      </c>
      <c r="B17" s="1">
        <v>2.23</v>
      </c>
      <c r="C17" s="1">
        <v>4.5799999999915126</v>
      </c>
      <c r="D17" s="1">
        <v>5.4700000000000237</v>
      </c>
      <c r="E17" s="1">
        <v>6.8100000000000236</v>
      </c>
      <c r="F17" s="1">
        <v>6.9300000000000237</v>
      </c>
      <c r="G17" s="1">
        <v>7.7</v>
      </c>
      <c r="H17" s="1">
        <v>7.8200000000000234</v>
      </c>
      <c r="I17" s="1">
        <v>11.030000000000097</v>
      </c>
      <c r="J17" s="1">
        <v>11.920000000000098</v>
      </c>
      <c r="K17" s="1">
        <v>13.35</v>
      </c>
      <c r="L17" s="1">
        <v>14.690000000000147</v>
      </c>
      <c r="M17" s="1">
        <v>14.810000000000146</v>
      </c>
      <c r="N17" s="1">
        <v>16.570000000000142</v>
      </c>
      <c r="O17" s="1">
        <v>16.690000000000143</v>
      </c>
      <c r="P17" s="1">
        <v>20.190000000000158</v>
      </c>
      <c r="Q17" s="7" t="s">
        <v>32</v>
      </c>
      <c r="R17" s="6">
        <f>B31</f>
        <v>3.5699999999914893</v>
      </c>
      <c r="S17" s="6">
        <f t="shared" si="4"/>
        <v>5.4700000000000237</v>
      </c>
      <c r="T17" s="1">
        <f t="shared" ref="T17:T18" si="6">E31</f>
        <v>6.9300000000000237</v>
      </c>
      <c r="U17" s="1">
        <f t="shared" ref="U17:U18" si="7">G31</f>
        <v>7.82</v>
      </c>
      <c r="V17" s="1">
        <f t="shared" si="5"/>
        <v>11.800000000000047</v>
      </c>
      <c r="W17" s="1">
        <f t="shared" si="5"/>
        <v>13.350000000000147</v>
      </c>
      <c r="X17" s="1">
        <f t="shared" ref="X17:X18" si="8">L31</f>
        <v>14.810000000000146</v>
      </c>
      <c r="Y17" s="1">
        <f t="shared" ref="Y17:Y18" si="9">N31</f>
        <v>16.690000000000143</v>
      </c>
      <c r="Z17" s="1">
        <f t="shared" ref="Z17:Z18" si="10">P31</f>
        <v>22.440000000000158</v>
      </c>
      <c r="AA17" s="4">
        <f>1000</f>
        <v>1000</v>
      </c>
      <c r="AD17" s="1"/>
      <c r="AE17" s="1"/>
      <c r="AF17" s="1"/>
      <c r="AG17" s="1"/>
      <c r="AH17" s="1"/>
      <c r="AI17" s="1"/>
      <c r="AJ17" s="1"/>
      <c r="AL17" s="1"/>
      <c r="AM17" s="1"/>
      <c r="AN17" s="1"/>
      <c r="AO17" s="1"/>
      <c r="AP17" s="1"/>
      <c r="AQ17" s="1"/>
      <c r="AR17" s="1"/>
      <c r="AT17" s="1"/>
      <c r="AU17" s="1"/>
      <c r="AV17" s="1"/>
      <c r="AW17" s="1"/>
      <c r="AX17" s="1"/>
      <c r="AY17" s="1"/>
      <c r="BA17" s="1"/>
      <c r="BB17" s="1"/>
      <c r="BC17" s="1"/>
      <c r="BD17" s="1"/>
      <c r="BE17" s="1"/>
      <c r="BG17" s="1"/>
      <c r="BH17" s="1"/>
      <c r="BI17" s="1"/>
      <c r="BK17" s="1"/>
      <c r="BL17" s="1"/>
      <c r="BM17" s="1"/>
      <c r="BO17" s="1"/>
      <c r="BP17" s="1"/>
      <c r="BR17" s="1"/>
    </row>
    <row r="18" spans="1:70" x14ac:dyDescent="0.3">
      <c r="A18" s="1" t="s">
        <v>28</v>
      </c>
      <c r="B18" s="1">
        <v>5.4700000000000237</v>
      </c>
      <c r="C18" s="1">
        <v>7.8200000000000278</v>
      </c>
      <c r="D18" s="1">
        <v>8.710000000000047</v>
      </c>
      <c r="E18" s="1">
        <v>10.910000000000093</v>
      </c>
      <c r="F18" s="1">
        <v>11.030000000000092</v>
      </c>
      <c r="G18" s="1">
        <v>11.8</v>
      </c>
      <c r="H18" s="1">
        <v>11.920000000000092</v>
      </c>
      <c r="I18" s="1">
        <v>13.920000000000094</v>
      </c>
      <c r="J18" s="1">
        <v>14.810000000000151</v>
      </c>
      <c r="K18" s="1">
        <v>16.360000000000149</v>
      </c>
      <c r="L18" s="1">
        <v>17.7</v>
      </c>
      <c r="M18" s="1">
        <v>17.820000000000149</v>
      </c>
      <c r="N18" s="1">
        <v>20.070000000000153</v>
      </c>
      <c r="O18" s="1">
        <v>20.190000000000154</v>
      </c>
      <c r="P18" s="1">
        <v>22.440000000000158</v>
      </c>
      <c r="Q18" t="s">
        <v>33</v>
      </c>
      <c r="R18" s="1">
        <f>B32</f>
        <v>6.8100000000000058</v>
      </c>
      <c r="S18" s="1">
        <f t="shared" si="4"/>
        <v>8.710000000000047</v>
      </c>
      <c r="T18" s="1">
        <f t="shared" si="6"/>
        <v>11.030000000000092</v>
      </c>
      <c r="U18" s="1">
        <f t="shared" si="7"/>
        <v>11.92</v>
      </c>
      <c r="V18" s="1">
        <f t="shared" si="5"/>
        <v>14.570000000000094</v>
      </c>
      <c r="W18" s="1">
        <f t="shared" si="5"/>
        <v>16.360000000000152</v>
      </c>
      <c r="X18" s="1">
        <f t="shared" si="8"/>
        <v>17.82</v>
      </c>
      <c r="Y18" s="1">
        <f t="shared" si="9"/>
        <v>20.190000000000154</v>
      </c>
      <c r="Z18" s="1">
        <f t="shared" si="10"/>
        <v>24.690000000000158</v>
      </c>
      <c r="AD18" s="1"/>
      <c r="AE18" s="1"/>
      <c r="AF18" s="1"/>
      <c r="AG18" s="1"/>
      <c r="AH18" s="1"/>
      <c r="AI18" s="1"/>
      <c r="AJ18" s="1"/>
      <c r="AL18" s="1"/>
      <c r="AM18" s="1"/>
      <c r="AN18" s="1"/>
      <c r="AO18" s="1"/>
      <c r="AP18" s="1"/>
      <c r="AQ18" s="1"/>
      <c r="AR18" s="1"/>
      <c r="AT18" s="1"/>
      <c r="AU18" s="1"/>
      <c r="AV18" s="1"/>
      <c r="AW18" s="1"/>
      <c r="AX18" s="1"/>
      <c r="AY18" s="1"/>
      <c r="BA18" s="1"/>
      <c r="BB18" s="1"/>
      <c r="BC18" s="1"/>
      <c r="BD18" s="1"/>
      <c r="BE18" s="1"/>
      <c r="BG18" s="1"/>
      <c r="BH18" s="1"/>
      <c r="BI18" s="1"/>
      <c r="BK18" s="1"/>
      <c r="BL18" s="1"/>
      <c r="BM18" s="1"/>
      <c r="BO18" s="1"/>
      <c r="BP18" s="1"/>
      <c r="BR18" s="1"/>
    </row>
    <row r="19" spans="1:70" x14ac:dyDescent="0.3">
      <c r="B19" s="14"/>
      <c r="AD19" s="1"/>
      <c r="AE19" s="1"/>
      <c r="AF19" s="1"/>
      <c r="AG19" s="1"/>
      <c r="AH19" s="1"/>
      <c r="AI19" s="1"/>
      <c r="AJ19" s="1"/>
      <c r="AL19" s="1"/>
      <c r="AM19" s="1"/>
      <c r="AN19" s="1"/>
      <c r="AO19" s="1"/>
      <c r="AP19" s="1"/>
      <c r="AQ19" s="1"/>
      <c r="AR19" s="1"/>
      <c r="AT19" s="1"/>
      <c r="AU19" s="1"/>
      <c r="AV19" s="1"/>
      <c r="AW19" s="1"/>
      <c r="AX19" s="1"/>
      <c r="AY19" s="1"/>
      <c r="BA19" s="1"/>
      <c r="BB19" s="1"/>
      <c r="BC19" s="1"/>
      <c r="BD19" s="1"/>
      <c r="BE19" s="1"/>
      <c r="BG19" s="1"/>
      <c r="BH19" s="1"/>
      <c r="BI19" s="1"/>
      <c r="BK19" s="1"/>
      <c r="BL19" s="1"/>
      <c r="BM19" s="1"/>
      <c r="BO19" s="1"/>
      <c r="BP19" s="1"/>
      <c r="BR19" s="1"/>
    </row>
    <row r="20" spans="1:70" x14ac:dyDescent="0.3">
      <c r="B20" s="15"/>
      <c r="AD20" s="1"/>
      <c r="AE20" s="1"/>
      <c r="AF20" s="1"/>
      <c r="AG20" s="1"/>
      <c r="AH20" s="1"/>
      <c r="AI20" s="1"/>
      <c r="AJ20" s="1"/>
      <c r="AL20" s="1"/>
      <c r="AM20" s="1"/>
      <c r="AN20" s="1"/>
      <c r="AO20" s="1"/>
      <c r="AP20" s="1"/>
      <c r="AQ20" s="1"/>
      <c r="AR20" s="1"/>
      <c r="AT20" s="1"/>
      <c r="AU20" s="1"/>
      <c r="AV20" s="1"/>
      <c r="AW20" s="1"/>
      <c r="AX20" s="1"/>
      <c r="AY20" s="1"/>
      <c r="BA20" s="1"/>
      <c r="BB20" s="1"/>
      <c r="BC20" s="1"/>
      <c r="BD20" s="1"/>
      <c r="BE20" s="1"/>
      <c r="BG20" s="1"/>
      <c r="BH20" s="1"/>
      <c r="BI20" s="1"/>
      <c r="BK20" s="1"/>
      <c r="BL20" s="1"/>
      <c r="BM20" s="1"/>
      <c r="BO20" s="1"/>
      <c r="BP20" s="1"/>
      <c r="BR20" s="1"/>
    </row>
    <row r="21" spans="1:70" x14ac:dyDescent="0.3">
      <c r="B21" s="15"/>
      <c r="AD21" s="1"/>
      <c r="AE21" s="1"/>
      <c r="AF21" s="1"/>
      <c r="AG21" s="1"/>
      <c r="AH21" s="1"/>
      <c r="AI21" s="1"/>
      <c r="AJ21" s="1"/>
      <c r="AL21" s="1"/>
      <c r="AM21" s="1"/>
      <c r="AN21" s="1"/>
      <c r="AO21" s="1"/>
      <c r="AP21" s="1"/>
      <c r="AQ21" s="1"/>
      <c r="AR21" s="1"/>
      <c r="AT21" s="1"/>
      <c r="AU21" s="1"/>
      <c r="AV21" s="1"/>
      <c r="AW21" s="1"/>
      <c r="AX21" s="1"/>
      <c r="AY21" s="1"/>
      <c r="BA21" s="1"/>
      <c r="BB21" s="1"/>
      <c r="BC21" s="1"/>
      <c r="BD21" s="1"/>
      <c r="BE21" s="1"/>
      <c r="BG21" s="1"/>
      <c r="BH21" s="1"/>
      <c r="BI21" s="1"/>
      <c r="BK21" s="1"/>
      <c r="BL21" s="1"/>
      <c r="BM21" s="1"/>
      <c r="BO21" s="1"/>
      <c r="BP21" s="1"/>
      <c r="BR21" s="1"/>
    </row>
    <row r="22" spans="1:70" x14ac:dyDescent="0.3">
      <c r="A22" t="s">
        <v>19</v>
      </c>
      <c r="B22" s="15"/>
      <c r="R22" t="s">
        <v>46</v>
      </c>
      <c r="AD22" s="1"/>
      <c r="AE22" s="1"/>
      <c r="AF22" s="1"/>
      <c r="AG22" s="1"/>
      <c r="AH22" s="1"/>
      <c r="AI22" s="1"/>
      <c r="AJ22" s="1"/>
      <c r="AL22" s="1"/>
      <c r="AM22" s="1"/>
      <c r="AN22" s="1"/>
      <c r="AO22" s="1"/>
      <c r="AP22" s="1"/>
      <c r="AQ22" s="1"/>
      <c r="AR22" s="1"/>
      <c r="AT22" s="1"/>
      <c r="AU22" s="1"/>
      <c r="AV22" s="1"/>
      <c r="AW22" s="1"/>
      <c r="AX22" s="1"/>
      <c r="AY22" s="1"/>
      <c r="BA22" s="1"/>
      <c r="BB22" s="1"/>
      <c r="BC22" s="1"/>
      <c r="BD22" s="1"/>
      <c r="BE22" s="1"/>
      <c r="BG22" s="1"/>
      <c r="BH22" s="1"/>
      <c r="BI22" s="1"/>
      <c r="BK22" s="1"/>
      <c r="BL22" s="1"/>
      <c r="BM22" s="1"/>
      <c r="BO22" s="1"/>
      <c r="BP22" s="1"/>
      <c r="BR22" s="1"/>
    </row>
    <row r="23" spans="1:70" x14ac:dyDescent="0.3">
      <c r="A23" t="s">
        <v>20</v>
      </c>
      <c r="R23" s="1"/>
      <c r="S23" s="6" t="s">
        <v>1</v>
      </c>
      <c r="T23" s="6" t="s">
        <v>2</v>
      </c>
      <c r="U23" s="6" t="s">
        <v>4</v>
      </c>
      <c r="V23" s="6" t="s">
        <v>6</v>
      </c>
      <c r="W23" s="6" t="s">
        <v>8</v>
      </c>
      <c r="X23" s="6" t="s">
        <v>9</v>
      </c>
      <c r="Y23" s="6" t="s">
        <v>11</v>
      </c>
      <c r="Z23" s="6" t="s">
        <v>13</v>
      </c>
      <c r="AA23" s="6" t="s">
        <v>15</v>
      </c>
      <c r="AD23" s="1"/>
      <c r="AE23" s="1"/>
      <c r="AF23" s="1"/>
      <c r="AG23" s="1"/>
      <c r="AH23" s="1"/>
      <c r="AI23" s="1"/>
      <c r="AJ23" s="1"/>
      <c r="AL23" s="1"/>
      <c r="AM23" s="1"/>
      <c r="AN23" s="1"/>
      <c r="AO23" s="1"/>
      <c r="AP23" s="1"/>
      <c r="AQ23" s="1"/>
      <c r="AR23" s="1"/>
      <c r="AT23" s="1"/>
      <c r="AU23" s="1"/>
      <c r="AV23" s="1"/>
      <c r="AW23" s="1"/>
      <c r="AX23" s="1"/>
      <c r="AY23" s="1"/>
      <c r="BA23" s="1"/>
      <c r="BB23" s="1"/>
      <c r="BC23" s="1"/>
      <c r="BD23" s="1"/>
      <c r="BE23" s="1"/>
      <c r="BG23" s="1"/>
      <c r="BH23" s="1"/>
      <c r="BI23" s="1"/>
      <c r="BK23" s="1"/>
      <c r="BL23" s="1"/>
      <c r="BM23" s="1"/>
      <c r="BO23" s="1"/>
      <c r="BP23" s="1"/>
      <c r="BR23" s="1"/>
    </row>
    <row r="24" spans="1:70" x14ac:dyDescent="0.3">
      <c r="A24" t="s">
        <v>23</v>
      </c>
      <c r="R24" s="6" t="s">
        <v>1</v>
      </c>
      <c r="S24" s="1"/>
      <c r="T24" s="1"/>
      <c r="U24" s="1">
        <f>$R$17-T2-$AA$17*(1-AD3)</f>
        <v>-1.865174681370263E-14</v>
      </c>
      <c r="V24" s="1">
        <f t="shared" ref="V24:Z24" si="11">$R$17-U2-$AA$17*(1-AE3)</f>
        <v>-0.89000000000001878</v>
      </c>
      <c r="W24" s="1">
        <f t="shared" si="11"/>
        <v>-4.2500000000085389</v>
      </c>
      <c r="X24" s="1">
        <f t="shared" si="11"/>
        <v>-5.1400000000085573</v>
      </c>
      <c r="Y24" s="1">
        <f t="shared" si="11"/>
        <v>-9.7800000000085099</v>
      </c>
      <c r="Z24" s="1">
        <f t="shared" si="11"/>
        <v>-11.000000000008653</v>
      </c>
      <c r="AA24" s="1">
        <f>$R$17-Z2-$AA$17*(1-AJ3)</f>
        <v>-14.250000000008663</v>
      </c>
      <c r="AD24" s="1"/>
      <c r="AE24" s="1"/>
      <c r="AF24" s="1"/>
      <c r="AG24" s="1"/>
      <c r="AH24" s="1"/>
      <c r="AI24" s="1"/>
      <c r="AJ24" s="1"/>
      <c r="AL24" s="1"/>
      <c r="AM24" s="1"/>
      <c r="AN24" s="1"/>
      <c r="AO24" s="1"/>
      <c r="AP24" s="1"/>
      <c r="AQ24" s="1"/>
      <c r="AR24" s="1"/>
      <c r="AT24" s="1"/>
      <c r="AU24" s="1"/>
      <c r="AV24" s="1"/>
      <c r="AW24" s="1"/>
      <c r="AX24" s="1"/>
      <c r="AY24" s="1"/>
      <c r="BA24" s="1"/>
      <c r="BB24" s="1"/>
      <c r="BC24" s="1"/>
      <c r="BD24" s="1"/>
      <c r="BE24" s="1"/>
      <c r="BG24" s="1"/>
      <c r="BH24" s="1"/>
      <c r="BI24" s="1"/>
      <c r="BK24" s="1"/>
      <c r="BL24" s="1"/>
      <c r="BM24" s="1"/>
      <c r="BO24" s="1"/>
      <c r="BP24" s="1"/>
      <c r="BR24" s="1"/>
    </row>
    <row r="25" spans="1:70" x14ac:dyDescent="0.3">
      <c r="A25" t="s">
        <v>24</v>
      </c>
      <c r="R25" s="6" t="s">
        <v>2</v>
      </c>
      <c r="S25" s="1"/>
      <c r="T25" s="1"/>
      <c r="U25" s="1">
        <f>$S$17-T2-$AA$17*(1-AL3)</f>
        <v>-998.0999999999915</v>
      </c>
      <c r="V25" s="1">
        <f t="shared" ref="V25:Z25" si="12">$S$17-U2-$AA$17*(1-AM3)</f>
        <v>-998.98999999999148</v>
      </c>
      <c r="W25" s="1">
        <f t="shared" si="12"/>
        <v>-2.3500000000000041</v>
      </c>
      <c r="X25" s="1">
        <f t="shared" si="12"/>
        <v>-3.2400000000000233</v>
      </c>
      <c r="Y25" s="1">
        <f t="shared" si="12"/>
        <v>-7.8799999999999759</v>
      </c>
      <c r="Z25" s="1">
        <f t="shared" si="12"/>
        <v>-9.1000000000001187</v>
      </c>
      <c r="AA25" s="1">
        <f>$S$17-Z2-$AA$17*(1-AR3)</f>
        <v>-12.350000000000129</v>
      </c>
      <c r="AD25" s="1"/>
      <c r="AE25" s="1"/>
      <c r="AF25" s="1"/>
      <c r="AG25" s="1"/>
      <c r="AH25" s="1"/>
      <c r="AI25" s="1"/>
      <c r="AJ25" s="1"/>
      <c r="AL25" s="1"/>
      <c r="AM25" s="1"/>
      <c r="AN25" s="1"/>
      <c r="AO25" s="1"/>
      <c r="AP25" s="1"/>
      <c r="AQ25" s="1"/>
      <c r="AR25" s="1"/>
      <c r="AT25" s="1"/>
      <c r="AU25" s="1"/>
      <c r="AV25" s="1"/>
      <c r="AW25" s="1"/>
      <c r="AX25" s="1"/>
      <c r="AY25" s="1"/>
      <c r="BA25" s="1"/>
      <c r="BB25" s="1"/>
      <c r="BC25" s="1"/>
      <c r="BD25" s="1"/>
      <c r="BE25" s="1"/>
      <c r="BG25" s="1"/>
      <c r="BH25" s="1"/>
      <c r="BI25" s="1"/>
      <c r="BK25" s="1"/>
      <c r="BL25" s="1"/>
      <c r="BM25" s="1"/>
      <c r="BO25" s="1"/>
      <c r="BP25" s="1"/>
      <c r="BR25" s="1"/>
    </row>
    <row r="26" spans="1:70" x14ac:dyDescent="0.3">
      <c r="R26" s="6" t="s">
        <v>4</v>
      </c>
      <c r="S26" s="1"/>
      <c r="T26" s="1"/>
      <c r="U26" s="1"/>
      <c r="V26" s="1">
        <f>$T$17-U2-$AA$17*(1-AT3)</f>
        <v>-997.52999999999145</v>
      </c>
      <c r="W26" s="1">
        <f t="shared" ref="W26:Z26" si="13">$T$17-V2-$AA$17*(1-AU3)</f>
        <v>-0.89000000000000412</v>
      </c>
      <c r="X26" s="1">
        <f t="shared" si="13"/>
        <v>-1.7800000000000233</v>
      </c>
      <c r="Y26" s="1">
        <f t="shared" si="13"/>
        <v>-6.4199999999999759</v>
      </c>
      <c r="Z26" s="1">
        <f t="shared" si="13"/>
        <v>-7.6400000000001187</v>
      </c>
      <c r="AA26" s="1">
        <f>$T$17-Z2-$AA$17*(1-AY3)</f>
        <v>-10.890000000000128</v>
      </c>
      <c r="AD26" s="1"/>
      <c r="AE26" s="1"/>
      <c r="AF26" s="1"/>
      <c r="AG26" s="1"/>
      <c r="AH26" s="1"/>
      <c r="AI26" s="1"/>
      <c r="AJ26" s="1"/>
      <c r="AL26" s="1"/>
      <c r="AM26" s="1"/>
      <c r="AN26" s="1"/>
      <c r="AO26" s="1"/>
      <c r="AP26" s="1"/>
      <c r="AQ26" s="1"/>
      <c r="AR26" s="1"/>
      <c r="AT26" s="1"/>
      <c r="AU26" s="1"/>
      <c r="AV26" s="1"/>
      <c r="AW26" s="1"/>
      <c r="AX26" s="1"/>
      <c r="AY26" s="1"/>
      <c r="BA26" s="1"/>
      <c r="BB26" s="1"/>
      <c r="BC26" s="1"/>
      <c r="BD26" s="1"/>
      <c r="BE26" s="1"/>
      <c r="BG26" s="1"/>
      <c r="BH26" s="1"/>
      <c r="BI26" s="1"/>
      <c r="BK26" s="1"/>
      <c r="BL26" s="1"/>
      <c r="BM26" s="1"/>
      <c r="BO26" s="1"/>
      <c r="BP26" s="1"/>
      <c r="BR26" s="1"/>
    </row>
    <row r="27" spans="1:70" x14ac:dyDescent="0.3">
      <c r="R27" s="6" t="s">
        <v>6</v>
      </c>
      <c r="S27" s="1"/>
      <c r="T27" s="1"/>
      <c r="U27" s="1"/>
      <c r="V27" s="1"/>
      <c r="W27" s="1">
        <f>$U$17-V2-$AA$17*(1-BA3)</f>
        <v>-2.7533531010703882E-14</v>
      </c>
      <c r="X27" s="1">
        <f t="shared" ref="X27:Z27" si="14">$U$17-W2-$AA$17*(1-BB3)</f>
        <v>-0.89000000000004675</v>
      </c>
      <c r="Y27" s="1">
        <f t="shared" si="14"/>
        <v>-5.5299999999999994</v>
      </c>
      <c r="Z27" s="1">
        <f t="shared" si="14"/>
        <v>-6.7500000000001421</v>
      </c>
      <c r="AA27" s="1">
        <f>$U$17-Z2-$AA$17*(1-BE3)</f>
        <v>-10.000000000000153</v>
      </c>
      <c r="AD27" s="1"/>
      <c r="AE27" s="1"/>
      <c r="AF27" s="1"/>
      <c r="AG27" s="1"/>
      <c r="AH27" s="1"/>
      <c r="AI27" s="1"/>
      <c r="AJ27" s="1"/>
      <c r="AL27" s="1"/>
      <c r="AM27" s="1"/>
      <c r="AN27" s="1"/>
      <c r="AO27" s="1"/>
      <c r="AP27" s="1"/>
      <c r="AQ27" s="1"/>
      <c r="AR27" s="1"/>
      <c r="AT27" s="1"/>
      <c r="AU27" s="1"/>
      <c r="AV27" s="1"/>
      <c r="AW27" s="1"/>
      <c r="AX27" s="1"/>
      <c r="AY27" s="1"/>
      <c r="BA27" s="1"/>
      <c r="BB27" s="1"/>
      <c r="BC27" s="1"/>
      <c r="BD27" s="1"/>
      <c r="BE27" s="1"/>
      <c r="BG27" s="1"/>
      <c r="BH27" s="1"/>
      <c r="BI27" s="1"/>
      <c r="BK27" s="1"/>
      <c r="BL27" s="1"/>
      <c r="BM27" s="1"/>
      <c r="BO27" s="1"/>
      <c r="BP27" s="1"/>
      <c r="BR27" s="1"/>
    </row>
    <row r="28" spans="1:70" x14ac:dyDescent="0.3">
      <c r="A28" t="s">
        <v>21</v>
      </c>
      <c r="R28" s="6" t="s">
        <v>8</v>
      </c>
      <c r="S28" s="1"/>
      <c r="T28" s="1"/>
      <c r="U28" s="1"/>
      <c r="V28" s="1"/>
      <c r="W28" s="1"/>
      <c r="X28" s="1"/>
      <c r="Y28" s="1">
        <f>$V$17-X2-$AA$17*(1-BG3)</f>
        <v>-1.5499999999999527</v>
      </c>
      <c r="Z28" s="1">
        <f t="shared" ref="Z28:AA28" si="15">$V$17-Y2-$AA$17*(1-BH3)</f>
        <v>-2.7700000000000955</v>
      </c>
      <c r="AA28" s="1">
        <f t="shared" si="15"/>
        <v>-6.0200000000001062</v>
      </c>
      <c r="AD28" s="1"/>
      <c r="AE28" s="1"/>
      <c r="AF28" s="1"/>
      <c r="AG28" s="1"/>
      <c r="AH28" s="1"/>
      <c r="AI28" s="1"/>
      <c r="AJ28" s="1"/>
      <c r="AL28" s="1"/>
      <c r="AM28" s="1"/>
      <c r="AN28" s="1"/>
      <c r="AO28" s="1"/>
      <c r="AP28" s="1"/>
      <c r="AQ28" s="1"/>
      <c r="AR28" s="1"/>
      <c r="AT28" s="1"/>
      <c r="AU28" s="1"/>
      <c r="AV28" s="1"/>
      <c r="AW28" s="1"/>
      <c r="AX28" s="1"/>
      <c r="AY28" s="1"/>
      <c r="BA28" s="1"/>
      <c r="BB28" s="1"/>
      <c r="BC28" s="1"/>
      <c r="BD28" s="1"/>
      <c r="BE28" s="1"/>
      <c r="BG28" s="1"/>
      <c r="BH28" s="1"/>
      <c r="BI28" s="1"/>
      <c r="BK28" s="1"/>
      <c r="BL28" s="1"/>
      <c r="BM28" s="1"/>
      <c r="BO28" s="1"/>
      <c r="BP28" s="1"/>
      <c r="BR28" s="1"/>
    </row>
    <row r="29" spans="1:70" x14ac:dyDescent="0.3">
      <c r="B29" s="3" t="s">
        <v>1</v>
      </c>
      <c r="C29" s="3" t="s">
        <v>2</v>
      </c>
      <c r="D29" t="s">
        <v>3</v>
      </c>
      <c r="E29" s="3" t="s">
        <v>4</v>
      </c>
      <c r="F29" t="s">
        <v>5</v>
      </c>
      <c r="G29" s="3" t="s">
        <v>6</v>
      </c>
      <c r="H29" t="s">
        <v>7</v>
      </c>
      <c r="I29" s="3" t="s">
        <v>8</v>
      </c>
      <c r="J29" s="3" t="s">
        <v>9</v>
      </c>
      <c r="K29" t="s">
        <v>10</v>
      </c>
      <c r="L29" s="3" t="s">
        <v>11</v>
      </c>
      <c r="M29" t="s">
        <v>12</v>
      </c>
      <c r="N29" s="3" t="s">
        <v>13</v>
      </c>
      <c r="O29" t="s">
        <v>14</v>
      </c>
      <c r="P29" s="3" t="s">
        <v>15</v>
      </c>
      <c r="R29" s="6" t="s">
        <v>9</v>
      </c>
      <c r="S29" s="1"/>
      <c r="T29" s="1"/>
      <c r="U29" s="1"/>
      <c r="V29" s="1"/>
      <c r="W29" s="1"/>
      <c r="X29" s="1"/>
      <c r="Y29" s="1">
        <f>$W$17-X2-$AA$17*(1-BK3)</f>
        <v>1.4743761767022079E-13</v>
      </c>
      <c r="Z29" s="1">
        <f t="shared" ref="Z29:AA29" si="16">$W$17-Y2-$AA$17*(1-BL3)</f>
        <v>-1.2199999999999953</v>
      </c>
      <c r="AA29" s="1">
        <f t="shared" si="16"/>
        <v>-4.470000000000006</v>
      </c>
      <c r="AD29" s="1"/>
      <c r="AE29" s="1"/>
      <c r="AF29" s="1"/>
      <c r="AG29" s="1"/>
      <c r="AH29" s="1"/>
      <c r="AI29" s="1"/>
      <c r="AJ29" s="1"/>
      <c r="AL29" s="1"/>
      <c r="AM29" s="1"/>
      <c r="AN29" s="1"/>
      <c r="AO29" s="1"/>
      <c r="AP29" s="1"/>
      <c r="AQ29" s="1"/>
      <c r="AR29" s="1"/>
      <c r="AT29" s="1"/>
      <c r="AU29" s="1"/>
      <c r="AV29" s="1"/>
      <c r="AW29" s="1"/>
      <c r="AX29" s="1"/>
      <c r="AY29" s="1"/>
      <c r="BA29" s="1"/>
      <c r="BB29" s="1"/>
      <c r="BC29" s="1"/>
      <c r="BD29" s="1"/>
      <c r="BE29" s="1"/>
      <c r="BG29" s="1"/>
      <c r="BH29" s="1"/>
      <c r="BI29" s="1"/>
      <c r="BK29" s="1"/>
      <c r="BL29" s="1"/>
      <c r="BM29" s="1"/>
      <c r="BO29" s="1"/>
      <c r="BP29" s="1"/>
      <c r="BR29" s="1"/>
    </row>
    <row r="30" spans="1:70" x14ac:dyDescent="0.3">
      <c r="A30" s="1" t="s">
        <v>16</v>
      </c>
      <c r="B30" s="1">
        <f>B2+B16</f>
        <v>0</v>
      </c>
      <c r="C30" s="1">
        <f t="shared" ref="C30:O32" si="17">C2+C16</f>
        <v>2.23</v>
      </c>
      <c r="D30" s="1">
        <f t="shared" si="17"/>
        <v>3.5700000000000003</v>
      </c>
      <c r="E30" s="1">
        <f t="shared" si="17"/>
        <v>3.6899999999915081</v>
      </c>
      <c r="F30" s="1">
        <f t="shared" si="17"/>
        <v>4.4599999999915081</v>
      </c>
      <c r="G30" s="1">
        <f t="shared" si="17"/>
        <v>4.5799999999915082</v>
      </c>
      <c r="H30" s="1">
        <f t="shared" si="17"/>
        <v>6.5799999999915082</v>
      </c>
      <c r="I30" s="1">
        <f t="shared" si="17"/>
        <v>7.8200000000000278</v>
      </c>
      <c r="J30" s="1">
        <f t="shared" si="17"/>
        <v>10.910000000000046</v>
      </c>
      <c r="K30" s="1">
        <f t="shared" si="17"/>
        <v>12.250000000000092</v>
      </c>
      <c r="L30" s="1">
        <f t="shared" si="17"/>
        <v>13.469999999999999</v>
      </c>
      <c r="M30" s="1">
        <f t="shared" si="17"/>
        <v>14.240000000000146</v>
      </c>
      <c r="N30" s="1">
        <f t="shared" si="17"/>
        <v>14.690000000000142</v>
      </c>
      <c r="O30" s="1">
        <f t="shared" si="17"/>
        <v>16.69000000000014</v>
      </c>
      <c r="P30" s="11">
        <f>P2+P16</f>
        <v>20.070000000000153</v>
      </c>
      <c r="R30" s="6" t="s">
        <v>11</v>
      </c>
      <c r="S30" s="1"/>
      <c r="T30" s="1"/>
      <c r="U30" s="1"/>
      <c r="V30" s="1"/>
      <c r="W30" s="1"/>
      <c r="X30" s="1"/>
      <c r="Y30" s="1"/>
      <c r="Z30" s="1">
        <f>$X$17-Y2-$AA$17*(1-BO3)</f>
        <v>-999.76</v>
      </c>
      <c r="AA30" s="1">
        <f>$X$17-Z2-$AA$17*(1-BP3)</f>
        <v>-3.0100000000000069</v>
      </c>
      <c r="AD30" s="1"/>
      <c r="AE30" s="1"/>
      <c r="AF30" s="1"/>
      <c r="AG30" s="1"/>
      <c r="AH30" s="1"/>
      <c r="AI30" s="1"/>
      <c r="AJ30" s="1"/>
      <c r="AL30" s="1"/>
      <c r="AM30" s="1"/>
      <c r="AN30" s="1"/>
      <c r="AO30" s="1"/>
      <c r="AP30" s="1"/>
      <c r="AQ30" s="1"/>
      <c r="AR30" s="1"/>
      <c r="AT30" s="1"/>
      <c r="AU30" s="1"/>
      <c r="AV30" s="1"/>
      <c r="AW30" s="1"/>
      <c r="AX30" s="1"/>
      <c r="AY30" s="1"/>
      <c r="BA30" s="1"/>
      <c r="BB30" s="1"/>
      <c r="BC30" s="1"/>
      <c r="BD30" s="1"/>
      <c r="BE30" s="1"/>
      <c r="BG30" s="1"/>
      <c r="BH30" s="1"/>
      <c r="BI30" s="1"/>
      <c r="BK30" s="1"/>
      <c r="BL30" s="1"/>
      <c r="BM30" s="1"/>
      <c r="BO30" s="1"/>
      <c r="BP30" s="1"/>
      <c r="BR30" s="1"/>
    </row>
    <row r="31" spans="1:70" x14ac:dyDescent="0.3">
      <c r="A31" s="1" t="s">
        <v>18</v>
      </c>
      <c r="B31" s="1">
        <f>B3+B17</f>
        <v>3.5699999999914893</v>
      </c>
      <c r="C31" s="1">
        <f t="shared" si="17"/>
        <v>5.4700000000000237</v>
      </c>
      <c r="D31" s="1">
        <f t="shared" si="17"/>
        <v>6.8100000000000236</v>
      </c>
      <c r="E31" s="1">
        <f t="shared" si="17"/>
        <v>6.9300000000000237</v>
      </c>
      <c r="F31" s="1">
        <f t="shared" si="17"/>
        <v>7.7000000000000242</v>
      </c>
      <c r="G31" s="1">
        <f t="shared" si="17"/>
        <v>7.82</v>
      </c>
      <c r="H31" s="1">
        <f t="shared" si="17"/>
        <v>9.8200000000000234</v>
      </c>
      <c r="I31" s="1">
        <f t="shared" si="17"/>
        <v>11.800000000000047</v>
      </c>
      <c r="J31" s="17">
        <f t="shared" si="17"/>
        <v>13.350000000000147</v>
      </c>
      <c r="K31" s="1">
        <f t="shared" si="17"/>
        <v>14.69</v>
      </c>
      <c r="L31" s="1">
        <f t="shared" si="17"/>
        <v>14.810000000000146</v>
      </c>
      <c r="M31" s="1">
        <f t="shared" si="17"/>
        <v>15.580000000000146</v>
      </c>
      <c r="N31" s="1">
        <f t="shared" si="17"/>
        <v>16.690000000000143</v>
      </c>
      <c r="O31" s="1">
        <f t="shared" si="17"/>
        <v>18.690000000000143</v>
      </c>
      <c r="P31" s="11">
        <f>P3+P17</f>
        <v>22.440000000000158</v>
      </c>
      <c r="R31" s="6" t="s">
        <v>13</v>
      </c>
      <c r="S31" s="1"/>
      <c r="T31" s="1"/>
      <c r="U31" s="1"/>
      <c r="V31" s="1"/>
      <c r="W31" s="1"/>
      <c r="X31" s="1"/>
      <c r="Y31" s="1"/>
      <c r="Z31" s="1"/>
      <c r="AA31" s="1">
        <f>$Y$17-Z2-$AA$17*(1-BR3)</f>
        <v>-1.1300000000000097</v>
      </c>
      <c r="AD31" s="1"/>
      <c r="AE31" s="1"/>
      <c r="AF31" s="1"/>
      <c r="AG31" s="1"/>
      <c r="AH31" s="1"/>
      <c r="AI31" s="1"/>
      <c r="AJ31" s="1"/>
      <c r="AL31" s="1"/>
      <c r="AM31" s="1"/>
      <c r="AN31" s="1"/>
      <c r="AO31" s="1"/>
      <c r="AP31" s="1"/>
      <c r="AQ31" s="1"/>
      <c r="AR31" s="1"/>
      <c r="AT31" s="1"/>
      <c r="AU31" s="1"/>
      <c r="AV31" s="1"/>
      <c r="AW31" s="1"/>
      <c r="AX31" s="1"/>
      <c r="AY31" s="1"/>
      <c r="BA31" s="1"/>
      <c r="BB31" s="1"/>
      <c r="BC31" s="1"/>
      <c r="BD31" s="1"/>
      <c r="BE31" s="1"/>
      <c r="BG31" s="1"/>
      <c r="BH31" s="1"/>
      <c r="BI31" s="1"/>
      <c r="BK31" s="1"/>
      <c r="BL31" s="1"/>
      <c r="BM31" s="1"/>
      <c r="BO31" s="1"/>
      <c r="BP31" s="1"/>
      <c r="BR31" s="1"/>
    </row>
    <row r="32" spans="1:70" x14ac:dyDescent="0.3">
      <c r="A32" s="1" t="s">
        <v>28</v>
      </c>
      <c r="B32" s="1">
        <f>B4+B18</f>
        <v>6.8100000000000058</v>
      </c>
      <c r="C32" s="1">
        <f t="shared" si="17"/>
        <v>8.710000000000047</v>
      </c>
      <c r="D32" s="1">
        <f t="shared" si="17"/>
        <v>10.050000000000047</v>
      </c>
      <c r="E32" s="1">
        <f t="shared" si="17"/>
        <v>11.030000000000092</v>
      </c>
      <c r="F32" s="1">
        <f t="shared" si="17"/>
        <v>11.800000000000091</v>
      </c>
      <c r="G32" s="1">
        <f t="shared" si="17"/>
        <v>11.92</v>
      </c>
      <c r="H32" s="1">
        <f t="shared" si="17"/>
        <v>13.920000000000092</v>
      </c>
      <c r="I32" s="1">
        <f t="shared" si="17"/>
        <v>14.570000000000094</v>
      </c>
      <c r="J32" s="17">
        <f t="shared" si="17"/>
        <v>16.360000000000152</v>
      </c>
      <c r="K32" s="1">
        <f t="shared" si="17"/>
        <v>17.700000000000149</v>
      </c>
      <c r="L32" s="1">
        <f t="shared" si="17"/>
        <v>17.82</v>
      </c>
      <c r="M32" s="1">
        <f t="shared" si="17"/>
        <v>18.590000000000149</v>
      </c>
      <c r="N32" s="1">
        <f t="shared" si="17"/>
        <v>20.190000000000154</v>
      </c>
      <c r="O32" s="1">
        <f t="shared" si="17"/>
        <v>22.190000000000154</v>
      </c>
      <c r="P32" s="11">
        <f>P4+P18</f>
        <v>24.690000000000158</v>
      </c>
      <c r="R32" s="6" t="s">
        <v>15</v>
      </c>
      <c r="S32" s="1"/>
      <c r="T32" s="1"/>
      <c r="U32" s="1"/>
      <c r="V32" s="1"/>
      <c r="W32" s="1"/>
      <c r="X32" s="1"/>
      <c r="Y32" s="1"/>
      <c r="Z32" s="1"/>
      <c r="AA32" s="1"/>
      <c r="AD32" s="1"/>
      <c r="AE32" s="1"/>
      <c r="AF32" s="1"/>
      <c r="AG32" s="1"/>
      <c r="AH32" s="1"/>
      <c r="AI32" s="1"/>
      <c r="AJ32" s="1"/>
      <c r="AL32" s="1"/>
      <c r="AM32" s="1"/>
      <c r="AN32" s="1"/>
      <c r="AO32" s="1"/>
      <c r="AP32" s="1"/>
      <c r="AQ32" s="1"/>
      <c r="AR32" s="1"/>
      <c r="AT32" s="1"/>
      <c r="AU32" s="1"/>
      <c r="AV32" s="1"/>
      <c r="AW32" s="1"/>
      <c r="AX32" s="1"/>
      <c r="AY32" s="1"/>
      <c r="BA32" s="1"/>
      <c r="BB32" s="1"/>
      <c r="BC32" s="1"/>
      <c r="BD32" s="1"/>
      <c r="BE32" s="1"/>
      <c r="BG32" s="1"/>
      <c r="BH32" s="1"/>
      <c r="BI32" s="1"/>
      <c r="BK32" s="1"/>
      <c r="BL32" s="1"/>
      <c r="BM32" s="1"/>
      <c r="BO32" s="1"/>
      <c r="BP32" s="1"/>
      <c r="BR32" s="1"/>
    </row>
    <row r="33" spans="1:70" x14ac:dyDescent="0.3">
      <c r="AD33" s="1"/>
      <c r="AE33" s="1"/>
      <c r="AF33" s="1"/>
      <c r="AG33" s="1"/>
      <c r="AH33" s="1"/>
      <c r="AI33" s="1"/>
      <c r="AJ33" s="1"/>
      <c r="AL33" s="1"/>
      <c r="AM33" s="1"/>
      <c r="AN33" s="1"/>
      <c r="AO33" s="1"/>
      <c r="AP33" s="1"/>
      <c r="AQ33" s="1"/>
      <c r="AR33" s="1"/>
      <c r="AT33" s="1"/>
      <c r="AU33" s="1"/>
      <c r="AV33" s="1"/>
      <c r="AW33" s="1"/>
      <c r="AX33" s="1"/>
      <c r="AY33" s="1"/>
      <c r="BA33" s="1"/>
      <c r="BB33" s="1"/>
      <c r="BC33" s="1"/>
      <c r="BD33" s="1"/>
      <c r="BE33" s="1"/>
      <c r="BG33" s="1"/>
      <c r="BH33" s="1"/>
      <c r="BI33" s="1"/>
      <c r="BK33" s="1"/>
      <c r="BL33" s="1"/>
      <c r="BM33" s="1"/>
      <c r="BO33" s="1"/>
      <c r="BP33" s="1"/>
      <c r="BR33" s="1"/>
    </row>
    <row r="34" spans="1:70" x14ac:dyDescent="0.3">
      <c r="R34" t="s">
        <v>37</v>
      </c>
      <c r="AD34" s="1"/>
      <c r="AE34" s="1"/>
      <c r="AF34" s="1"/>
      <c r="AG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T34" s="1"/>
      <c r="AU34" s="1"/>
      <c r="AV34" s="1"/>
      <c r="AW34" s="1"/>
      <c r="AX34" s="1"/>
      <c r="AY34" s="1"/>
      <c r="BA34" s="1"/>
      <c r="BB34" s="1"/>
      <c r="BC34" s="1"/>
      <c r="BD34" s="1"/>
      <c r="BE34" s="1"/>
      <c r="BG34" s="1"/>
      <c r="BH34" s="1"/>
      <c r="BI34" s="1"/>
      <c r="BK34" s="1"/>
      <c r="BL34" s="1"/>
      <c r="BM34" s="1"/>
      <c r="BO34" s="1"/>
      <c r="BP34" s="1"/>
      <c r="BR34" s="1"/>
    </row>
    <row r="35" spans="1:70" x14ac:dyDescent="0.3">
      <c r="A35" t="s">
        <v>96</v>
      </c>
      <c r="B35">
        <f>P32</f>
        <v>24.690000000000158</v>
      </c>
      <c r="R35" s="1"/>
      <c r="S35" s="6" t="s">
        <v>1</v>
      </c>
      <c r="T35" s="6" t="s">
        <v>2</v>
      </c>
      <c r="U35" s="6" t="s">
        <v>4</v>
      </c>
      <c r="V35" s="6" t="s">
        <v>6</v>
      </c>
      <c r="W35" s="6" t="s">
        <v>8</v>
      </c>
      <c r="X35" s="6" t="s">
        <v>9</v>
      </c>
      <c r="Y35" s="6" t="s">
        <v>11</v>
      </c>
      <c r="Z35" s="6" t="s">
        <v>13</v>
      </c>
      <c r="AA35" s="6" t="s">
        <v>15</v>
      </c>
      <c r="AD35" s="1"/>
      <c r="AE35" s="1"/>
      <c r="AF35" s="1"/>
      <c r="AG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T35" s="1"/>
      <c r="AU35" s="1"/>
      <c r="AV35" s="1"/>
      <c r="AW35" s="1"/>
      <c r="AX35" s="1"/>
      <c r="AY35" s="1"/>
      <c r="BA35" s="1"/>
      <c r="BB35" s="1"/>
      <c r="BC35" s="1"/>
      <c r="BD35" s="1"/>
      <c r="BE35" s="1"/>
      <c r="BG35" s="1"/>
      <c r="BH35" s="1"/>
      <c r="BI35" s="1"/>
      <c r="BK35" s="1"/>
      <c r="BL35" s="1"/>
      <c r="BM35" s="1"/>
      <c r="BO35" s="1"/>
      <c r="BP35" s="1"/>
      <c r="BR35" s="1"/>
    </row>
    <row r="36" spans="1:70" x14ac:dyDescent="0.3">
      <c r="R36" s="6" t="s">
        <v>1</v>
      </c>
      <c r="S36" s="1"/>
      <c r="T36" s="1"/>
      <c r="U36" s="1">
        <f>$R$18-T2-$AA$17*(1-AD4)</f>
        <v>-996.75999999999146</v>
      </c>
      <c r="V36" s="1">
        <f t="shared" ref="V36:Z36" si="18">$R$18-U2-$AA$17*(1-AE4)</f>
        <v>-997.64999999999145</v>
      </c>
      <c r="W36" s="1">
        <f t="shared" si="18"/>
        <v>-1.010000000000022</v>
      </c>
      <c r="X36" s="1">
        <f t="shared" si="18"/>
        <v>-1.9000000000000412</v>
      </c>
      <c r="Y36" s="1">
        <f t="shared" si="18"/>
        <v>-6.5399999999999938</v>
      </c>
      <c r="Z36" s="1">
        <f t="shared" si="18"/>
        <v>-7.7600000000001366</v>
      </c>
      <c r="AA36" s="1">
        <f>$R$18-Z2-$AA$17*(1-AJ4)</f>
        <v>-11.010000000000147</v>
      </c>
      <c r="AD36" s="1"/>
      <c r="AE36" s="1"/>
      <c r="AF36" s="1"/>
      <c r="AG36" s="1"/>
      <c r="AH36" s="1"/>
      <c r="AI36" s="1"/>
      <c r="AJ36" s="1"/>
      <c r="AL36" s="1"/>
      <c r="AM36" s="1"/>
      <c r="AN36" s="1"/>
      <c r="AO36" s="1"/>
      <c r="AP36" s="1"/>
      <c r="AQ36" s="1"/>
      <c r="AR36" s="1"/>
      <c r="AT36" s="1"/>
      <c r="AU36" s="1"/>
      <c r="AV36" s="1"/>
      <c r="AW36" s="1"/>
      <c r="AX36" s="1"/>
      <c r="AY36" s="1"/>
      <c r="BA36" s="1"/>
      <c r="BB36" s="1"/>
      <c r="BC36" s="1"/>
      <c r="BD36" s="1"/>
      <c r="BE36" s="1"/>
      <c r="BG36" s="1"/>
      <c r="BH36" s="1"/>
      <c r="BI36" s="1"/>
      <c r="BK36" s="1"/>
      <c r="BL36" s="1"/>
      <c r="BM36" s="1"/>
      <c r="BO36" s="1"/>
      <c r="BP36" s="1"/>
      <c r="BR36" s="1"/>
    </row>
    <row r="37" spans="1:70" x14ac:dyDescent="0.3">
      <c r="R37" s="6" t="s">
        <v>2</v>
      </c>
      <c r="S37" s="1"/>
      <c r="T37" s="1"/>
      <c r="U37" s="1">
        <f>$S$18-T2-$AA$17*(1-AL4)</f>
        <v>-994.85999999999149</v>
      </c>
      <c r="V37" s="1">
        <f t="shared" ref="V37:AA37" si="19">$S$18-U2-$AA$17*(1-AM4)</f>
        <v>-995.74999999999147</v>
      </c>
      <c r="W37" s="1">
        <f t="shared" si="19"/>
        <v>-999.11</v>
      </c>
      <c r="X37" s="1">
        <f t="shared" si="19"/>
        <v>0</v>
      </c>
      <c r="Y37" s="1">
        <f t="shared" si="19"/>
        <v>-4.6399999999999526</v>
      </c>
      <c r="Z37" s="1">
        <f t="shared" si="19"/>
        <v>-5.8600000000000954</v>
      </c>
      <c r="AA37" s="1">
        <f t="shared" si="19"/>
        <v>-9.110000000000106</v>
      </c>
      <c r="AD37" s="1"/>
      <c r="AE37" s="1"/>
      <c r="AF37" s="1"/>
      <c r="AG37" s="1"/>
      <c r="AH37" s="1"/>
      <c r="AI37" s="1"/>
      <c r="AJ37" s="1"/>
      <c r="AL37" s="1"/>
      <c r="AM37" s="1"/>
      <c r="AN37" s="1"/>
      <c r="AO37" s="1"/>
      <c r="AP37" s="1"/>
      <c r="AQ37" s="1"/>
      <c r="AR37" s="1"/>
      <c r="AT37" s="1"/>
      <c r="AU37" s="1"/>
      <c r="AV37" s="1"/>
      <c r="AW37" s="1"/>
      <c r="AX37" s="1"/>
      <c r="AY37" s="1"/>
      <c r="BA37" s="1"/>
      <c r="BB37" s="1"/>
      <c r="BC37" s="1"/>
      <c r="BD37" s="1"/>
      <c r="BE37" s="1"/>
      <c r="BG37" s="1"/>
      <c r="BH37" s="1"/>
      <c r="BI37" s="1"/>
      <c r="BK37" s="1"/>
      <c r="BL37" s="1"/>
      <c r="BM37" s="1"/>
      <c r="BO37" s="1"/>
      <c r="BP37" s="1"/>
      <c r="BR37" s="1"/>
    </row>
    <row r="38" spans="1:70" x14ac:dyDescent="0.3">
      <c r="R38" s="6" t="s">
        <v>4</v>
      </c>
      <c r="S38" s="1"/>
      <c r="T38" s="1"/>
      <c r="U38" s="1"/>
      <c r="V38" s="1">
        <f>$T$18-U2-$AA$17*(1-AT4)</f>
        <v>-993.42999999999142</v>
      </c>
      <c r="W38" s="1">
        <f t="shared" ref="W38:AA38" si="20">$T$18-V2-$AA$17*(1-AU4)</f>
        <v>-996.79</v>
      </c>
      <c r="X38" s="1">
        <f t="shared" si="20"/>
        <v>-997.68</v>
      </c>
      <c r="Y38" s="1">
        <f t="shared" si="20"/>
        <v>-2.3199999999999079</v>
      </c>
      <c r="Z38" s="1">
        <f t="shared" si="20"/>
        <v>-3.5400000000000507</v>
      </c>
      <c r="AA38" s="1">
        <f t="shared" si="20"/>
        <v>-6.7900000000000613</v>
      </c>
      <c r="AD38" s="1"/>
      <c r="AE38" s="1"/>
      <c r="AF38" s="1"/>
      <c r="AG38" s="1"/>
      <c r="AH38" s="1"/>
      <c r="AI38" s="1"/>
      <c r="AJ38" s="1"/>
      <c r="AL38" s="1"/>
      <c r="AM38" s="1"/>
      <c r="AN38" s="1"/>
      <c r="AO38" s="1"/>
      <c r="AP38" s="1"/>
      <c r="AQ38" s="1"/>
      <c r="AR38" s="1"/>
      <c r="AT38" s="1"/>
      <c r="AU38" s="1"/>
      <c r="AV38" s="1"/>
      <c r="AW38" s="1"/>
      <c r="AX38" s="1"/>
      <c r="AY38" s="1"/>
      <c r="BA38" s="1"/>
      <c r="BB38" s="1"/>
      <c r="BC38" s="1"/>
      <c r="BD38" s="1"/>
      <c r="BE38" s="1"/>
      <c r="BG38" s="1"/>
      <c r="BH38" s="1"/>
      <c r="BI38" s="1"/>
      <c r="BK38" s="1"/>
      <c r="BL38" s="1"/>
      <c r="BM38" s="1"/>
      <c r="BO38" s="1"/>
      <c r="BP38" s="1"/>
      <c r="BR38" s="1"/>
    </row>
    <row r="39" spans="1:70" x14ac:dyDescent="0.3">
      <c r="R39" s="6" t="s">
        <v>6</v>
      </c>
      <c r="S39" s="1"/>
      <c r="T39" s="1"/>
      <c r="U39" s="1"/>
      <c r="V39" s="1"/>
      <c r="W39" s="1">
        <f>$U$18-V2-$AA$17*(1-BA4)</f>
        <v>-995.9</v>
      </c>
      <c r="X39" s="1">
        <f t="shared" ref="X39:AA39" si="21">$U$18-W2-$AA$17*(1-BB4)</f>
        <v>-996.79000000000008</v>
      </c>
      <c r="Y39" s="1">
        <f t="shared" si="21"/>
        <v>-1.4299999999999997</v>
      </c>
      <c r="Z39" s="1">
        <f t="shared" si="21"/>
        <v>-2.6500000000001425</v>
      </c>
      <c r="AA39" s="1">
        <f t="shared" si="21"/>
        <v>-5.9000000000001531</v>
      </c>
      <c r="AD39" s="1"/>
      <c r="AE39" s="1"/>
      <c r="AF39" s="1"/>
      <c r="AG39" s="1"/>
      <c r="AH39" s="1"/>
      <c r="AI39" s="1"/>
      <c r="AJ39" s="1"/>
      <c r="AL39" s="1"/>
      <c r="AM39" s="1"/>
      <c r="AN39" s="1"/>
      <c r="AO39" s="1"/>
      <c r="AP39" s="1"/>
      <c r="AQ39" s="1"/>
      <c r="AR39" s="1"/>
      <c r="AT39" s="1"/>
      <c r="AU39" s="1"/>
      <c r="AV39" s="1"/>
      <c r="AW39" s="1"/>
      <c r="AX39" s="1"/>
      <c r="AY39" s="1"/>
      <c r="BA39" s="1"/>
      <c r="BB39" s="1"/>
      <c r="BC39" s="1"/>
      <c r="BD39" s="1"/>
      <c r="BE39" s="1"/>
      <c r="BG39" s="1"/>
      <c r="BH39" s="1"/>
      <c r="BI39" s="1"/>
      <c r="BK39" s="1"/>
      <c r="BL39" s="1"/>
      <c r="BM39" s="1"/>
      <c r="BO39" s="1"/>
      <c r="BP39" s="1"/>
      <c r="BR39" s="1"/>
    </row>
    <row r="40" spans="1:70" x14ac:dyDescent="0.3">
      <c r="R40" s="6" t="s">
        <v>8</v>
      </c>
      <c r="S40" s="1"/>
      <c r="T40" s="1"/>
      <c r="U40" s="1"/>
      <c r="V40" s="1"/>
      <c r="W40" s="1"/>
      <c r="X40" s="1"/>
      <c r="Y40" s="1">
        <f>$V$18-X2-$AA$17*(1-BG4)</f>
        <v>-998.77999999999986</v>
      </c>
      <c r="Z40" s="1">
        <f t="shared" ref="Z40:AA40" si="22">$V$18-Y2-$AA$17*(1-BH4)</f>
        <v>-4.7961634663806763E-14</v>
      </c>
      <c r="AA40" s="1">
        <f t="shared" si="22"/>
        <v>-3.2500000000000586</v>
      </c>
      <c r="AD40" s="1"/>
      <c r="AE40" s="1"/>
      <c r="AF40" s="1"/>
      <c r="AG40" s="1"/>
      <c r="AH40" s="1"/>
      <c r="AI40" s="1"/>
      <c r="AJ40" s="1"/>
      <c r="AL40" s="1"/>
      <c r="AM40" s="1"/>
      <c r="AN40" s="1"/>
      <c r="AO40" s="1"/>
      <c r="AP40" s="1"/>
      <c r="AQ40" s="1"/>
      <c r="AR40" s="1"/>
      <c r="AT40" s="1"/>
      <c r="AU40" s="1"/>
      <c r="AV40" s="1"/>
      <c r="AW40" s="1"/>
      <c r="AX40" s="1"/>
      <c r="AY40" s="1"/>
      <c r="BA40" s="1"/>
      <c r="BB40" s="1"/>
      <c r="BC40" s="1"/>
      <c r="BD40" s="1"/>
      <c r="BE40" s="1"/>
      <c r="BG40" s="1"/>
      <c r="BH40" s="1"/>
      <c r="BI40" s="1"/>
      <c r="BK40" s="1"/>
      <c r="BL40" s="1"/>
      <c r="BM40" s="1"/>
      <c r="BO40" s="1"/>
      <c r="BP40" s="1"/>
      <c r="BR40" s="1"/>
    </row>
    <row r="41" spans="1:70" x14ac:dyDescent="0.3">
      <c r="R41" s="6" t="s">
        <v>9</v>
      </c>
      <c r="S41" s="1"/>
      <c r="T41" s="1"/>
      <c r="U41" s="1"/>
      <c r="V41" s="1"/>
      <c r="W41" s="1"/>
      <c r="X41" s="1"/>
      <c r="Y41" s="1">
        <f>$W$18-X2-$AA$17*(1-BK4)</f>
        <v>-996.9899999999999</v>
      </c>
      <c r="Z41" s="1">
        <f t="shared" ref="Z41:AA41" si="23">$W$18-Y2-$AA$17*(1-BL4)</f>
        <v>-998.21</v>
      </c>
      <c r="AA41" s="1">
        <f t="shared" si="23"/>
        <v>-1.4600000000000009</v>
      </c>
      <c r="AD41" s="1"/>
      <c r="AE41" s="1"/>
      <c r="AF41" s="1"/>
      <c r="AG41" s="1"/>
      <c r="AH41" s="1"/>
      <c r="AI41" s="1"/>
      <c r="AJ41" s="1"/>
      <c r="AL41" s="1"/>
      <c r="AM41" s="1"/>
      <c r="AN41" s="1"/>
      <c r="AO41" s="1"/>
      <c r="AP41" s="1"/>
      <c r="AQ41" s="1"/>
      <c r="AR41" s="1"/>
      <c r="AT41" s="1"/>
      <c r="AU41" s="1"/>
      <c r="AV41" s="1"/>
      <c r="AW41" s="1"/>
      <c r="AX41" s="1"/>
      <c r="AY41" s="1"/>
      <c r="BA41" s="1"/>
      <c r="BB41" s="1"/>
      <c r="BC41" s="1"/>
      <c r="BD41" s="1"/>
      <c r="BE41" s="1"/>
      <c r="BG41" s="1"/>
      <c r="BH41" s="1"/>
      <c r="BI41" s="1"/>
      <c r="BK41" s="1"/>
      <c r="BL41" s="1"/>
      <c r="BM41" s="1"/>
      <c r="BO41" s="1"/>
      <c r="BP41" s="1"/>
      <c r="BR41" s="1"/>
    </row>
    <row r="42" spans="1:70" x14ac:dyDescent="0.3">
      <c r="A42" t="s">
        <v>25</v>
      </c>
      <c r="R42" s="6" t="s">
        <v>11</v>
      </c>
      <c r="S42" s="1"/>
      <c r="T42" s="1"/>
      <c r="U42" s="1"/>
      <c r="V42" s="1"/>
      <c r="W42" s="1"/>
      <c r="X42" s="1"/>
      <c r="Y42" s="1"/>
      <c r="Z42" s="1">
        <f>$X$18-Y2-$AA$17*(1-BO4)</f>
        <v>-996.75000000000011</v>
      </c>
      <c r="AA42" s="1">
        <f>$X$18-Z2-$AA$17*(1-BP4)</f>
        <v>-1.5276668818842154E-13</v>
      </c>
      <c r="AD42" s="1"/>
      <c r="AE42" s="1"/>
      <c r="AF42" s="1"/>
      <c r="AG42" s="1"/>
      <c r="AH42" s="1"/>
      <c r="AI42" s="1"/>
      <c r="AJ42" s="1"/>
      <c r="AL42" s="1"/>
      <c r="AM42" s="1"/>
      <c r="AN42" s="1"/>
      <c r="AO42" s="1"/>
      <c r="AP42" s="1"/>
      <c r="AQ42" s="1"/>
      <c r="AR42" s="1"/>
      <c r="AT42" s="1"/>
      <c r="AU42" s="1"/>
      <c r="AV42" s="1"/>
      <c r="AW42" s="1"/>
      <c r="AX42" s="1"/>
      <c r="AY42" s="1"/>
      <c r="BA42" s="1"/>
      <c r="BB42" s="1"/>
      <c r="BC42" s="1"/>
      <c r="BD42" s="1"/>
      <c r="BE42" s="1"/>
      <c r="BG42" s="1"/>
      <c r="BH42" s="1"/>
      <c r="BI42" s="1"/>
      <c r="BK42" s="1"/>
      <c r="BL42" s="1"/>
      <c r="BM42" s="1"/>
      <c r="BO42" s="1"/>
      <c r="BP42" s="1"/>
      <c r="BR42" s="1"/>
    </row>
    <row r="43" spans="1:70" x14ac:dyDescent="0.3">
      <c r="B43" s="3" t="s">
        <v>1</v>
      </c>
      <c r="C43" s="3" t="s">
        <v>2</v>
      </c>
      <c r="D43" t="s">
        <v>3</v>
      </c>
      <c r="E43" s="3" t="s">
        <v>4</v>
      </c>
      <c r="F43" t="s">
        <v>5</v>
      </c>
      <c r="G43" s="3" t="s">
        <v>6</v>
      </c>
      <c r="H43" t="s">
        <v>7</v>
      </c>
      <c r="I43" s="3" t="s">
        <v>8</v>
      </c>
      <c r="J43" s="3" t="s">
        <v>9</v>
      </c>
      <c r="K43" t="s">
        <v>10</v>
      </c>
      <c r="L43" s="3" t="s">
        <v>11</v>
      </c>
      <c r="M43" t="s">
        <v>12</v>
      </c>
      <c r="N43" s="3" t="s">
        <v>13</v>
      </c>
      <c r="O43" t="s">
        <v>14</v>
      </c>
      <c r="P43" s="3" t="s">
        <v>15</v>
      </c>
      <c r="R43" s="6" t="s">
        <v>13</v>
      </c>
      <c r="S43" s="1"/>
      <c r="T43" s="1"/>
      <c r="U43" s="1"/>
      <c r="V43" s="1"/>
      <c r="W43" s="1"/>
      <c r="X43" s="1"/>
      <c r="Y43" s="1"/>
      <c r="Z43" s="1"/>
      <c r="AA43" s="1">
        <f>$Y$18-Z2-$AA$17*(1-BR4)</f>
        <v>-997.63</v>
      </c>
      <c r="AD43" s="1"/>
      <c r="AE43" s="1"/>
      <c r="AF43" s="1"/>
      <c r="AG43" s="1"/>
      <c r="AH43" s="1"/>
      <c r="AI43" s="1"/>
      <c r="AJ43" s="1"/>
      <c r="AL43" s="1"/>
      <c r="AM43" s="1"/>
      <c r="AN43" s="1"/>
      <c r="AO43" s="1"/>
      <c r="AP43" s="1"/>
      <c r="AQ43" s="1"/>
      <c r="AR43" s="1"/>
      <c r="AT43" s="1"/>
      <c r="AU43" s="1"/>
      <c r="AV43" s="1"/>
      <c r="AW43" s="1"/>
      <c r="AX43" s="1"/>
      <c r="AY43" s="1"/>
      <c r="BA43" s="1"/>
      <c r="BB43" s="1"/>
      <c r="BC43" s="1"/>
      <c r="BD43" s="1"/>
      <c r="BE43" s="1"/>
      <c r="BG43" s="1"/>
      <c r="BH43" s="1"/>
      <c r="BI43" s="1"/>
      <c r="BK43" s="1"/>
      <c r="BL43" s="1"/>
      <c r="BM43" s="1"/>
      <c r="BO43" s="1"/>
      <c r="BP43" s="1"/>
      <c r="BR43" s="1"/>
    </row>
    <row r="44" spans="1:70" x14ac:dyDescent="0.3">
      <c r="A44" s="1" t="s">
        <v>16</v>
      </c>
      <c r="B44" s="1"/>
      <c r="C44" s="1">
        <f>C16-B30</f>
        <v>0</v>
      </c>
      <c r="D44" s="1">
        <f t="shared" ref="D44:P46" si="24">D16-C30</f>
        <v>0</v>
      </c>
      <c r="E44" s="1">
        <f t="shared" si="24"/>
        <v>-8.4923179599627474E-12</v>
      </c>
      <c r="F44" s="1">
        <f t="shared" si="24"/>
        <v>0</v>
      </c>
      <c r="G44" s="1">
        <f t="shared" si="24"/>
        <v>0</v>
      </c>
      <c r="H44" s="1">
        <f t="shared" si="24"/>
        <v>0</v>
      </c>
      <c r="I44" s="1">
        <f t="shared" si="24"/>
        <v>1.2400000000085196</v>
      </c>
      <c r="J44" s="1">
        <f t="shared" si="24"/>
        <v>0.89000000000001922</v>
      </c>
      <c r="K44" s="1">
        <f t="shared" si="24"/>
        <v>4.6185277824406512E-14</v>
      </c>
      <c r="L44" s="1">
        <f t="shared" si="24"/>
        <v>1.0999999999999073</v>
      </c>
      <c r="M44" s="1">
        <f t="shared" si="24"/>
        <v>1.4743761767022079E-13</v>
      </c>
      <c r="N44" s="1">
        <f t="shared" si="24"/>
        <v>0.32999999999999652</v>
      </c>
      <c r="O44" s="1">
        <f t="shared" si="24"/>
        <v>0</v>
      </c>
      <c r="P44" s="11">
        <f t="shared" si="24"/>
        <v>1.1300000000000132</v>
      </c>
      <c r="R44" s="6" t="s">
        <v>15</v>
      </c>
      <c r="S44" s="1"/>
      <c r="T44" s="1"/>
      <c r="U44" s="1"/>
      <c r="V44" s="1"/>
      <c r="W44" s="1"/>
      <c r="X44" s="1"/>
      <c r="Y44" s="1"/>
      <c r="Z44" s="1"/>
      <c r="AA44" s="1"/>
      <c r="AD44" s="1"/>
      <c r="AE44" s="1"/>
      <c r="AF44" s="1"/>
      <c r="AG44" s="1"/>
      <c r="AH44" s="1"/>
      <c r="AI44" s="1"/>
      <c r="AJ44" s="1"/>
      <c r="AL44" s="1"/>
      <c r="AM44" s="1"/>
      <c r="AN44" s="1"/>
      <c r="AO44" s="1"/>
      <c r="AP44" s="1"/>
      <c r="AQ44" s="1"/>
      <c r="AR44" s="1"/>
      <c r="AT44" s="1"/>
      <c r="AU44" s="1"/>
      <c r="AV44" s="1"/>
      <c r="AW44" s="1"/>
      <c r="AX44" s="1"/>
      <c r="AY44" s="1"/>
      <c r="BA44" s="1"/>
      <c r="BB44" s="1"/>
      <c r="BC44" s="1"/>
      <c r="BD44" s="1"/>
      <c r="BE44" s="1"/>
      <c r="BG44" s="1"/>
      <c r="BH44" s="1"/>
      <c r="BI44" s="1"/>
      <c r="BK44" s="1"/>
      <c r="BL44" s="1"/>
      <c r="BM44" s="1"/>
      <c r="BO44" s="1"/>
      <c r="BP44" s="1"/>
      <c r="BR44" s="1"/>
    </row>
    <row r="45" spans="1:70" x14ac:dyDescent="0.3">
      <c r="A45" s="8" t="s">
        <v>18</v>
      </c>
      <c r="B45" s="8"/>
      <c r="C45" s="8">
        <f>C17-B31</f>
        <v>1.0100000000000233</v>
      </c>
      <c r="D45" s="8">
        <f t="shared" si="24"/>
        <v>0</v>
      </c>
      <c r="E45" s="8">
        <f t="shared" si="24"/>
        <v>0</v>
      </c>
      <c r="F45" s="8">
        <f t="shared" si="24"/>
        <v>0</v>
      </c>
      <c r="G45" s="8">
        <f t="shared" si="24"/>
        <v>-2.3980817331903381E-14</v>
      </c>
      <c r="H45" s="8">
        <f t="shared" si="24"/>
        <v>2.3092638912203256E-14</v>
      </c>
      <c r="I45" s="8">
        <f t="shared" si="24"/>
        <v>1.2100000000000737</v>
      </c>
      <c r="J45" s="8">
        <f t="shared" si="24"/>
        <v>0.12000000000005073</v>
      </c>
      <c r="K45" s="8">
        <f t="shared" si="24"/>
        <v>-1.4743761767022079E-13</v>
      </c>
      <c r="L45" s="8">
        <f t="shared" si="24"/>
        <v>1.4743761767022079E-13</v>
      </c>
      <c r="M45" s="8">
        <f t="shared" si="24"/>
        <v>0</v>
      </c>
      <c r="N45" s="8">
        <f t="shared" si="24"/>
        <v>0.98999999999999666</v>
      </c>
      <c r="O45" s="8">
        <f t="shared" si="24"/>
        <v>0</v>
      </c>
      <c r="P45" s="19">
        <f t="shared" si="24"/>
        <v>1.5000000000000142</v>
      </c>
      <c r="AD45" s="1"/>
      <c r="AE45" s="1"/>
      <c r="AF45" s="1"/>
      <c r="AG45" s="1"/>
      <c r="AH45" s="1"/>
      <c r="AI45" s="1"/>
      <c r="AJ45" s="1"/>
      <c r="AL45" s="1"/>
      <c r="AM45" s="1"/>
      <c r="AN45" s="1"/>
      <c r="AO45" s="1"/>
      <c r="AP45" s="1"/>
      <c r="AQ45" s="1"/>
      <c r="AR45" s="1"/>
      <c r="AT45" s="1"/>
      <c r="AU45" s="1"/>
      <c r="AV45" s="1"/>
      <c r="AW45" s="1"/>
      <c r="AX45" s="1"/>
      <c r="AY45" s="1"/>
      <c r="BA45" s="1"/>
      <c r="BB45" s="1"/>
      <c r="BC45" s="1"/>
      <c r="BD45" s="1"/>
      <c r="BE45" s="1"/>
      <c r="BG45" s="1"/>
      <c r="BH45" s="1"/>
      <c r="BI45" s="1"/>
      <c r="BK45" s="1"/>
      <c r="BL45" s="1"/>
      <c r="BM45" s="1"/>
      <c r="BO45" s="1"/>
      <c r="BP45" s="1"/>
      <c r="BR45" s="1"/>
    </row>
    <row r="46" spans="1:70" x14ac:dyDescent="0.3">
      <c r="A46" s="1" t="s">
        <v>28</v>
      </c>
      <c r="B46" s="1"/>
      <c r="C46" s="8">
        <f>C18-B32</f>
        <v>1.010000000000022</v>
      </c>
      <c r="D46" s="8">
        <f t="shared" si="24"/>
        <v>0</v>
      </c>
      <c r="E46" s="8">
        <f t="shared" si="24"/>
        <v>0.86000000000004562</v>
      </c>
      <c r="F46" s="8">
        <f t="shared" si="24"/>
        <v>0</v>
      </c>
      <c r="G46" s="8">
        <f t="shared" si="24"/>
        <v>-9.0594198809412774E-14</v>
      </c>
      <c r="H46" s="8">
        <f t="shared" si="24"/>
        <v>9.2370555648813024E-14</v>
      </c>
      <c r="I46" s="8">
        <f t="shared" si="24"/>
        <v>0</v>
      </c>
      <c r="J46" s="8">
        <f t="shared" si="24"/>
        <v>0.24000000000005706</v>
      </c>
      <c r="K46" s="8">
        <f t="shared" si="24"/>
        <v>0</v>
      </c>
      <c r="L46" s="8">
        <f t="shared" si="24"/>
        <v>-1.4921397450962104E-13</v>
      </c>
      <c r="M46" s="8">
        <f t="shared" si="24"/>
        <v>1.4921397450962104E-13</v>
      </c>
      <c r="N46" s="8">
        <f t="shared" si="24"/>
        <v>1.480000000000004</v>
      </c>
      <c r="O46" s="8">
        <f t="shared" si="24"/>
        <v>0</v>
      </c>
      <c r="P46" s="19">
        <f>P18-O32</f>
        <v>0.25000000000000355</v>
      </c>
      <c r="AD46" s="1"/>
      <c r="AE46" s="1"/>
      <c r="AF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T46" s="1"/>
      <c r="AU46" s="1"/>
      <c r="AV46" s="1"/>
      <c r="AW46" s="1"/>
      <c r="AX46" s="1"/>
      <c r="AY46" s="1"/>
      <c r="BA46" s="1"/>
      <c r="BB46" s="1"/>
      <c r="BC46" s="1"/>
      <c r="BD46" s="1"/>
      <c r="BE46" s="1"/>
      <c r="BG46" s="1"/>
      <c r="BH46" s="1"/>
      <c r="BI46" s="1"/>
      <c r="BK46" s="1"/>
      <c r="BL46" s="1"/>
      <c r="BM46" s="1"/>
      <c r="BO46" s="1"/>
      <c r="BP46" s="1"/>
      <c r="BR46" s="1"/>
    </row>
    <row r="47" spans="1:70" x14ac:dyDescent="0.3">
      <c r="R47" t="s">
        <v>38</v>
      </c>
      <c r="AD47" s="1"/>
      <c r="AE47" s="1"/>
      <c r="AF47" s="1"/>
      <c r="AG47" s="1"/>
      <c r="AH47" s="1"/>
      <c r="AI47" s="1"/>
      <c r="AJ47" s="1"/>
      <c r="AL47" s="1"/>
      <c r="AM47" s="1"/>
      <c r="AN47" s="1"/>
      <c r="AO47" s="1"/>
      <c r="AP47" s="1"/>
      <c r="AQ47" s="1"/>
      <c r="AR47" s="1"/>
      <c r="AT47" s="1"/>
      <c r="AU47" s="1"/>
      <c r="AV47" s="1"/>
      <c r="AW47" s="1"/>
      <c r="AX47" s="1"/>
      <c r="AY47" s="1"/>
      <c r="BA47" s="1"/>
      <c r="BB47" s="1"/>
      <c r="BC47" s="1"/>
      <c r="BD47" s="1"/>
      <c r="BE47" s="1"/>
      <c r="BG47" s="1"/>
      <c r="BH47" s="1"/>
      <c r="BI47" s="1"/>
      <c r="BK47" s="1"/>
      <c r="BL47" s="1"/>
      <c r="BM47" s="1"/>
      <c r="BO47" s="1"/>
      <c r="BP47" s="1"/>
      <c r="BR47" s="1"/>
    </row>
    <row r="48" spans="1:70" x14ac:dyDescent="0.3">
      <c r="R48" s="1"/>
      <c r="S48" s="6" t="s">
        <v>1</v>
      </c>
      <c r="T48" s="6" t="s">
        <v>2</v>
      </c>
      <c r="U48" s="6" t="s">
        <v>4</v>
      </c>
      <c r="V48" s="6" t="s">
        <v>6</v>
      </c>
      <c r="W48" s="6" t="s">
        <v>8</v>
      </c>
      <c r="X48" s="6" t="s">
        <v>9</v>
      </c>
      <c r="Y48" s="6" t="s">
        <v>11</v>
      </c>
      <c r="Z48" s="6" t="s">
        <v>13</v>
      </c>
      <c r="AA48" s="6" t="s">
        <v>15</v>
      </c>
      <c r="AD48" s="1"/>
      <c r="AE48" s="1"/>
      <c r="AF48" s="1"/>
      <c r="AG48" s="1"/>
      <c r="AH48" s="1"/>
      <c r="AI48" s="1"/>
      <c r="AJ48" s="1"/>
      <c r="AL48" s="1"/>
      <c r="AM48" s="1"/>
      <c r="AN48" s="1"/>
      <c r="AO48" s="1"/>
      <c r="AP48" s="1"/>
      <c r="AQ48" s="1"/>
      <c r="AR48" s="1"/>
      <c r="AT48" s="1"/>
      <c r="AU48" s="1"/>
      <c r="AV48" s="1"/>
      <c r="AW48" s="1"/>
      <c r="AX48" s="1"/>
      <c r="AY48" s="1"/>
      <c r="BA48" s="1"/>
      <c r="BB48" s="1"/>
      <c r="BC48" s="1"/>
      <c r="BD48" s="1"/>
      <c r="BE48" s="1"/>
      <c r="BG48" s="1"/>
      <c r="BH48" s="1"/>
      <c r="BI48" s="1"/>
      <c r="BK48" s="1"/>
      <c r="BL48" s="1"/>
      <c r="BM48" s="1"/>
      <c r="BO48" s="1"/>
      <c r="BP48" s="1"/>
      <c r="BR48" s="1"/>
    </row>
    <row r="49" spans="1:70" x14ac:dyDescent="0.3">
      <c r="R49" s="6" t="s">
        <v>1</v>
      </c>
      <c r="S49" s="1"/>
      <c r="T49" s="1"/>
      <c r="U49" s="1">
        <f>$R$18-T3-$AA$17*(1-AD5)</f>
        <v>-1.7763568394002505E-14</v>
      </c>
      <c r="V49" s="1">
        <f t="shared" ref="V49:AA49" si="25">$R$18-U3-$AA$17*(1-AE5)</f>
        <v>-0.88999999999999435</v>
      </c>
      <c r="W49" s="1">
        <f t="shared" si="25"/>
        <v>-4.2200000000000912</v>
      </c>
      <c r="X49" s="1">
        <f t="shared" si="25"/>
        <v>-5.1100000000000918</v>
      </c>
      <c r="Y49" s="1">
        <f t="shared" si="25"/>
        <v>-7.8800000000001411</v>
      </c>
      <c r="Z49" s="1">
        <f t="shared" si="25"/>
        <v>-9.7600000000001366</v>
      </c>
      <c r="AA49" s="1">
        <f t="shared" si="25"/>
        <v>-13.380000000000152</v>
      </c>
      <c r="AD49" s="1"/>
      <c r="AE49" s="1"/>
      <c r="AF49" s="1"/>
      <c r="AG49" s="1"/>
      <c r="AH49" s="1"/>
      <c r="AI49" s="1"/>
      <c r="AJ49" s="1"/>
      <c r="AL49" s="1"/>
      <c r="AM49" s="1"/>
      <c r="AN49" s="1"/>
      <c r="AO49" s="1"/>
      <c r="AP49" s="1"/>
      <c r="AQ49" s="1"/>
      <c r="AR49" s="1"/>
      <c r="AT49" s="1"/>
      <c r="AU49" s="1"/>
      <c r="AV49" s="1"/>
      <c r="AW49" s="1"/>
      <c r="AX49" s="1"/>
      <c r="AY49" s="1"/>
      <c r="BA49" s="1"/>
      <c r="BB49" s="1"/>
      <c r="BC49" s="1"/>
      <c r="BD49" s="1"/>
      <c r="BE49" s="1"/>
      <c r="BG49" s="1"/>
      <c r="BH49" s="1"/>
      <c r="BI49" s="1"/>
      <c r="BK49" s="1"/>
      <c r="BL49" s="1"/>
      <c r="BM49" s="1"/>
      <c r="BO49" s="1"/>
      <c r="BP49" s="1"/>
      <c r="BR49" s="1"/>
    </row>
    <row r="50" spans="1:70" x14ac:dyDescent="0.3">
      <c r="A50" t="s">
        <v>19</v>
      </c>
      <c r="R50" s="6" t="s">
        <v>2</v>
      </c>
      <c r="S50" s="1"/>
      <c r="T50" s="1"/>
      <c r="U50" s="1">
        <f>$S$18-T3-$AA$17*(1-AL5)</f>
        <v>-998.1</v>
      </c>
      <c r="V50" s="1">
        <f t="shared" ref="V50:AA50" si="26">$S$18-U3-$AA$17*(1-AM5)</f>
        <v>-998.99</v>
      </c>
      <c r="W50" s="1">
        <f t="shared" si="26"/>
        <v>-2.32000000000005</v>
      </c>
      <c r="X50" s="1">
        <f t="shared" si="26"/>
        <v>-3.2100000000000506</v>
      </c>
      <c r="Y50" s="1">
        <f t="shared" si="26"/>
        <v>-5.9800000000000999</v>
      </c>
      <c r="Z50" s="1">
        <f t="shared" si="26"/>
        <v>-7.8600000000000954</v>
      </c>
      <c r="AA50" s="1">
        <f t="shared" si="26"/>
        <v>-11.480000000000111</v>
      </c>
      <c r="AD50" s="1"/>
      <c r="AE50" s="1"/>
      <c r="AF50" s="1"/>
      <c r="AG50" s="1"/>
      <c r="AH50" s="1"/>
      <c r="AI50" s="1"/>
      <c r="AJ50" s="1"/>
      <c r="AL50" s="1"/>
      <c r="AM50" s="1"/>
      <c r="AN50" s="1"/>
      <c r="AO50" s="1"/>
      <c r="AP50" s="1"/>
      <c r="AQ50" s="1"/>
      <c r="AR50" s="1"/>
      <c r="AT50" s="1"/>
      <c r="AU50" s="1"/>
      <c r="AV50" s="1"/>
      <c r="AW50" s="1"/>
      <c r="AX50" s="1"/>
      <c r="AY50" s="1"/>
      <c r="BA50" s="1"/>
      <c r="BB50" s="1"/>
      <c r="BC50" s="1"/>
      <c r="BD50" s="1"/>
      <c r="BE50" s="1"/>
      <c r="BG50" s="1"/>
      <c r="BH50" s="1"/>
      <c r="BI50" s="1"/>
      <c r="BK50" s="1"/>
      <c r="BL50" s="1"/>
      <c r="BM50" s="1"/>
      <c r="BO50" s="1"/>
      <c r="BP50" s="1"/>
      <c r="BR50" s="1"/>
    </row>
    <row r="51" spans="1:70" x14ac:dyDescent="0.3">
      <c r="A51" t="s">
        <v>20</v>
      </c>
      <c r="R51" s="6" t="s">
        <v>4</v>
      </c>
      <c r="S51" s="1"/>
      <c r="T51" s="1"/>
      <c r="U51" s="1"/>
      <c r="V51" s="1">
        <f>$T$18-U3-$AA$17*(1-AT5)</f>
        <v>-996.67</v>
      </c>
      <c r="W51" s="1">
        <f t="shared" ref="W51:AA51" si="27">$T$18-V3-$AA$17*(1-AU5)</f>
        <v>-5.3290705182007514E-15</v>
      </c>
      <c r="X51" s="1">
        <f t="shared" si="27"/>
        <v>-0.8900000000000059</v>
      </c>
      <c r="Y51" s="1">
        <f t="shared" si="27"/>
        <v>-3.6600000000000552</v>
      </c>
      <c r="Z51" s="1">
        <f t="shared" si="27"/>
        <v>-5.5400000000000507</v>
      </c>
      <c r="AA51" s="1">
        <f t="shared" si="27"/>
        <v>-9.1600000000000659</v>
      </c>
      <c r="AD51" s="1"/>
      <c r="AE51" s="1"/>
      <c r="AF51" s="1"/>
      <c r="AG51" s="1"/>
      <c r="AH51" s="1"/>
      <c r="AI51" s="1"/>
      <c r="AJ51" s="1"/>
      <c r="AL51" s="1"/>
      <c r="AM51" s="1"/>
      <c r="AN51" s="1"/>
      <c r="AO51" s="1"/>
      <c r="AP51" s="1"/>
      <c r="AQ51" s="1"/>
      <c r="AR51" s="1"/>
      <c r="AT51" s="1"/>
      <c r="AU51" s="1"/>
      <c r="AV51" s="1"/>
      <c r="AW51" s="1"/>
      <c r="AX51" s="1"/>
      <c r="AY51" s="1"/>
      <c r="BA51" s="1"/>
      <c r="BB51" s="1"/>
      <c r="BC51" s="1"/>
      <c r="BD51" s="1"/>
      <c r="BE51" s="1"/>
      <c r="BG51" s="1"/>
      <c r="BH51" s="1"/>
      <c r="BI51" s="1"/>
      <c r="BK51" s="1"/>
      <c r="BL51" s="1"/>
      <c r="BM51" s="1"/>
      <c r="BO51" s="1"/>
      <c r="BP51" s="1"/>
      <c r="BR51" s="1"/>
    </row>
    <row r="52" spans="1:70" x14ac:dyDescent="0.3">
      <c r="A52" t="s">
        <v>23</v>
      </c>
      <c r="R52" s="6" t="s">
        <v>6</v>
      </c>
      <c r="S52" s="1"/>
      <c r="T52" s="1"/>
      <c r="U52" s="1"/>
      <c r="V52" s="1"/>
      <c r="W52" s="1">
        <f>$U$18-V3-$AA$17*(1-BA5)</f>
        <v>-999.11000000000013</v>
      </c>
      <c r="X52" s="1">
        <f t="shared" ref="X52:AA52" si="28">$U$18-W3-$AA$17*(1-BB5)</f>
        <v>-9.7699626167013776E-14</v>
      </c>
      <c r="Y52" s="1">
        <f t="shared" si="28"/>
        <v>-2.770000000000147</v>
      </c>
      <c r="Z52" s="1">
        <f t="shared" si="28"/>
        <v>-4.6500000000001425</v>
      </c>
      <c r="AA52" s="1">
        <f t="shared" si="28"/>
        <v>-8.2700000000001577</v>
      </c>
      <c r="AD52" s="1"/>
      <c r="AE52" s="1"/>
      <c r="AF52" s="1"/>
      <c r="AG52" s="1"/>
      <c r="AH52" s="1"/>
      <c r="AI52" s="1"/>
      <c r="AJ52" s="1"/>
      <c r="AL52" s="1"/>
      <c r="AM52" s="1"/>
      <c r="AN52" s="1"/>
      <c r="AO52" s="1"/>
      <c r="AP52" s="1"/>
      <c r="AQ52" s="1"/>
      <c r="AR52" s="1"/>
      <c r="AT52" s="1"/>
      <c r="AU52" s="1"/>
      <c r="AV52" s="1"/>
      <c r="AW52" s="1"/>
      <c r="AX52" s="1"/>
      <c r="AY52" s="1"/>
      <c r="BA52" s="1"/>
      <c r="BB52" s="1"/>
      <c r="BC52" s="1"/>
      <c r="BD52" s="1"/>
      <c r="BE52" s="1"/>
      <c r="BG52" s="1"/>
      <c r="BH52" s="1"/>
      <c r="BI52" s="1"/>
      <c r="BK52" s="1"/>
      <c r="BL52" s="1"/>
      <c r="BM52" s="1"/>
      <c r="BO52" s="1"/>
      <c r="BP52" s="1"/>
      <c r="BR52" s="1"/>
    </row>
    <row r="53" spans="1:70" x14ac:dyDescent="0.3">
      <c r="A53" t="s">
        <v>24</v>
      </c>
      <c r="R53" s="6" t="s">
        <v>8</v>
      </c>
      <c r="S53" s="1"/>
      <c r="T53" s="1"/>
      <c r="U53" s="1"/>
      <c r="V53" s="1"/>
      <c r="W53" s="1"/>
      <c r="X53" s="1"/>
      <c r="Y53" s="1">
        <f>$V$18-X3-$AA$17*(1-BG5)</f>
        <v>-0.12000000000005251</v>
      </c>
      <c r="Z53" s="1">
        <f t="shared" ref="Z53:AA53" si="29">$V$18-Y3-$AA$17*(1-BH5)</f>
        <v>-2.000000000000048</v>
      </c>
      <c r="AA53" s="1">
        <f t="shared" si="29"/>
        <v>-5.6200000000000632</v>
      </c>
      <c r="AD53" s="1"/>
      <c r="AE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R53" s="1"/>
      <c r="AT53" s="1"/>
      <c r="AU53" s="1"/>
      <c r="AV53" s="1"/>
      <c r="AW53" s="1"/>
      <c r="AX53" s="1"/>
      <c r="AY53" s="1"/>
      <c r="BA53" s="1"/>
      <c r="BB53" s="1"/>
      <c r="BC53" s="1"/>
      <c r="BD53" s="1"/>
      <c r="BE53" s="1"/>
      <c r="BG53" s="1"/>
      <c r="BH53" s="1"/>
      <c r="BI53" s="1"/>
      <c r="BK53" s="1"/>
      <c r="BL53" s="1"/>
      <c r="BM53" s="1"/>
      <c r="BO53" s="1"/>
      <c r="BP53" s="1"/>
      <c r="BR53" s="1"/>
    </row>
    <row r="54" spans="1:70" x14ac:dyDescent="0.3">
      <c r="R54" s="6" t="s">
        <v>9</v>
      </c>
      <c r="S54" s="1"/>
      <c r="T54" s="1"/>
      <c r="U54" s="1"/>
      <c r="V54" s="1"/>
      <c r="W54" s="1"/>
      <c r="X54" s="1"/>
      <c r="Y54" s="1">
        <f>$W$18-X3-$AA$17*(1-BK5)</f>
        <v>-998.33</v>
      </c>
      <c r="Z54" s="1">
        <f t="shared" ref="Z54:AA54" si="30">$W$18-Y3-$AA$17*(1-BL5)</f>
        <v>-0.20999999999999019</v>
      </c>
      <c r="AA54" s="1">
        <f t="shared" si="30"/>
        <v>-3.8300000000000054</v>
      </c>
      <c r="AD54" s="1"/>
      <c r="AE54" s="1"/>
      <c r="AF54" s="1"/>
      <c r="AG54" s="1"/>
      <c r="AH54" s="1"/>
      <c r="AI54" s="1"/>
      <c r="AJ54" s="1"/>
      <c r="AL54" s="1"/>
      <c r="AM54" s="1"/>
      <c r="AN54" s="1"/>
      <c r="AO54" s="1"/>
      <c r="AP54" s="1"/>
      <c r="AQ54" s="1"/>
      <c r="AR54" s="1"/>
      <c r="AT54" s="1"/>
      <c r="AU54" s="1"/>
      <c r="AV54" s="1"/>
      <c r="AW54" s="1"/>
      <c r="AX54" s="1"/>
      <c r="AY54" s="1"/>
      <c r="BA54" s="1"/>
      <c r="BB54" s="1"/>
      <c r="BC54" s="1"/>
      <c r="BD54" s="1"/>
      <c r="BE54" s="1"/>
      <c r="BG54" s="1"/>
      <c r="BH54" s="1"/>
      <c r="BI54" s="1"/>
      <c r="BK54" s="1"/>
      <c r="BL54" s="1"/>
      <c r="BM54" s="1"/>
      <c r="BO54" s="1"/>
      <c r="BP54" s="1"/>
      <c r="BR54" s="1"/>
    </row>
    <row r="55" spans="1:70" x14ac:dyDescent="0.3">
      <c r="R55" s="6" t="s">
        <v>11</v>
      </c>
      <c r="S55" s="1"/>
      <c r="T55" s="1"/>
      <c r="U55" s="1"/>
      <c r="V55" s="1"/>
      <c r="W55" s="1"/>
      <c r="X55" s="1"/>
      <c r="Y55" s="1"/>
      <c r="Z55" s="1">
        <f>$X$18-Y3-$AA$17*(1-BO5)</f>
        <v>-998.75000000000011</v>
      </c>
      <c r="AA55" s="1">
        <f>$X$18-Z3-$AA$17*(1-BP5)</f>
        <v>-2.3700000000001573</v>
      </c>
      <c r="AD55" s="1"/>
      <c r="AE55" s="1"/>
      <c r="AF55" s="1"/>
      <c r="AG55" s="1"/>
      <c r="AH55" s="1"/>
      <c r="AI55" s="1"/>
      <c r="AJ55" s="1"/>
      <c r="AL55" s="1"/>
      <c r="AM55" s="1"/>
      <c r="AN55" s="1"/>
      <c r="AO55" s="1"/>
      <c r="AP55" s="1"/>
      <c r="AQ55" s="1"/>
      <c r="AR55" s="1"/>
      <c r="AT55" s="1"/>
      <c r="AU55" s="1"/>
      <c r="AV55" s="1"/>
      <c r="AW55" s="1"/>
      <c r="AX55" s="1"/>
      <c r="AY55" s="1"/>
      <c r="BA55" s="1"/>
      <c r="BB55" s="1"/>
      <c r="BC55" s="1"/>
      <c r="BD55" s="1"/>
      <c r="BE55" s="1"/>
      <c r="BG55" s="1"/>
      <c r="BH55" s="1"/>
      <c r="BI55" s="1"/>
      <c r="BK55" s="1"/>
      <c r="BL55" s="1"/>
      <c r="BM55" s="1"/>
      <c r="BO55" s="1"/>
      <c r="BP55" s="1"/>
      <c r="BR55" s="1"/>
    </row>
    <row r="56" spans="1:70" x14ac:dyDescent="0.3">
      <c r="A56" t="s">
        <v>25</v>
      </c>
      <c r="R56" s="6" t="s">
        <v>13</v>
      </c>
      <c r="S56" s="1"/>
      <c r="T56" s="1"/>
      <c r="U56" s="1"/>
      <c r="V56" s="1"/>
      <c r="W56" s="1"/>
      <c r="X56" s="1"/>
      <c r="Y56" s="1"/>
      <c r="Z56" s="1"/>
      <c r="AA56" s="1">
        <f>$Y$18-Z3-$AA$17*(1-BR5)</f>
        <v>-3.5527136788005009E-15</v>
      </c>
      <c r="AD56" s="1"/>
      <c r="AE56" s="1"/>
      <c r="AF56" s="1"/>
      <c r="AG56" s="1"/>
      <c r="AH56" s="1"/>
      <c r="AI56" s="1"/>
      <c r="AJ56" s="1"/>
      <c r="AL56" s="1"/>
      <c r="AM56" s="1"/>
      <c r="AN56" s="1"/>
      <c r="AO56" s="1"/>
      <c r="AP56" s="1"/>
      <c r="AQ56" s="1"/>
      <c r="AR56" s="1"/>
      <c r="AT56" s="1"/>
      <c r="AU56" s="1"/>
      <c r="AV56" s="1"/>
      <c r="AW56" s="1"/>
      <c r="AX56" s="1"/>
      <c r="AY56" s="1"/>
      <c r="BA56" s="1"/>
      <c r="BB56" s="1"/>
      <c r="BC56" s="1"/>
      <c r="BD56" s="1"/>
      <c r="BE56" s="1"/>
      <c r="BG56" s="1"/>
      <c r="BH56" s="1"/>
      <c r="BI56" s="1"/>
      <c r="BK56" s="1"/>
      <c r="BL56" s="1"/>
      <c r="BM56" s="1"/>
      <c r="BO56" s="1"/>
      <c r="BP56" s="1"/>
      <c r="BR56" s="1"/>
    </row>
    <row r="57" spans="1:70" x14ac:dyDescent="0.3">
      <c r="B57" s="3" t="s">
        <v>1</v>
      </c>
      <c r="C57" s="3" t="s">
        <v>2</v>
      </c>
      <c r="D57" t="s">
        <v>3</v>
      </c>
      <c r="E57" s="3" t="s">
        <v>4</v>
      </c>
      <c r="F57" t="s">
        <v>5</v>
      </c>
      <c r="G57" s="3" t="s">
        <v>6</v>
      </c>
      <c r="H57" t="s">
        <v>7</v>
      </c>
      <c r="I57" s="3" t="s">
        <v>8</v>
      </c>
      <c r="J57" s="3" t="s">
        <v>9</v>
      </c>
      <c r="K57" t="s">
        <v>10</v>
      </c>
      <c r="L57" s="3" t="s">
        <v>11</v>
      </c>
      <c r="M57" t="s">
        <v>12</v>
      </c>
      <c r="N57" s="3" t="s">
        <v>13</v>
      </c>
      <c r="O57" t="s">
        <v>14</v>
      </c>
      <c r="P57" s="3" t="s">
        <v>15</v>
      </c>
      <c r="R57" s="6" t="s">
        <v>15</v>
      </c>
      <c r="S57" s="1"/>
      <c r="T57" s="1"/>
      <c r="U57" s="1"/>
      <c r="V57" s="1"/>
      <c r="W57" s="1"/>
      <c r="X57" s="1"/>
      <c r="Y57" s="1"/>
      <c r="Z57" s="1"/>
      <c r="AA57" s="1"/>
      <c r="AD57" s="1"/>
      <c r="AE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R57" s="1"/>
      <c r="AT57" s="1"/>
      <c r="AU57" s="1"/>
      <c r="AV57" s="1"/>
      <c r="AW57" s="1"/>
      <c r="AX57" s="1"/>
      <c r="AY57" s="1"/>
      <c r="BA57" s="1"/>
      <c r="BB57" s="1"/>
      <c r="BC57" s="1"/>
      <c r="BD57" s="1"/>
      <c r="BE57" s="1"/>
      <c r="BG57" s="1"/>
      <c r="BH57" s="1"/>
      <c r="BI57" s="1"/>
      <c r="BK57" s="1"/>
      <c r="BL57" s="1"/>
      <c r="BM57" s="1"/>
      <c r="BO57" s="1"/>
      <c r="BP57" s="1"/>
      <c r="BR57" s="1"/>
    </row>
    <row r="58" spans="1:70" x14ac:dyDescent="0.3">
      <c r="A58" s="1" t="s">
        <v>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1"/>
      <c r="AD58" s="1"/>
      <c r="AE58" s="1"/>
      <c r="AF58" s="1"/>
      <c r="AG58" s="1"/>
      <c r="AH58" s="1"/>
      <c r="AI58" s="1"/>
      <c r="AJ58" s="1"/>
      <c r="AL58" s="1"/>
      <c r="AM58" s="1"/>
      <c r="AN58" s="1"/>
      <c r="AO58" s="1"/>
      <c r="AP58" s="1"/>
      <c r="AQ58" s="1"/>
      <c r="AR58" s="1"/>
      <c r="AT58" s="1"/>
      <c r="AU58" s="1"/>
      <c r="AV58" s="1"/>
      <c r="AW58" s="1"/>
      <c r="AX58" s="1"/>
      <c r="AY58" s="1"/>
      <c r="BA58" s="1"/>
      <c r="BB58" s="1"/>
      <c r="BC58" s="1"/>
      <c r="BD58" s="1"/>
      <c r="BE58" s="1"/>
      <c r="BG58" s="1"/>
      <c r="BH58" s="1"/>
      <c r="BI58" s="1"/>
      <c r="BK58" s="1"/>
      <c r="BL58" s="1"/>
      <c r="BM58" s="1"/>
      <c r="BO58" s="1"/>
      <c r="BP58" s="1"/>
      <c r="BR58" s="1"/>
    </row>
    <row r="59" spans="1:70" x14ac:dyDescent="0.3">
      <c r="A59" s="1" t="s">
        <v>18</v>
      </c>
      <c r="B59" s="1">
        <f>B17-C30</f>
        <v>0</v>
      </c>
      <c r="C59" s="1">
        <f t="shared" ref="C59:P60" si="31">C17-C30</f>
        <v>2.3499999999915127</v>
      </c>
      <c r="D59" s="1">
        <f t="shared" si="31"/>
        <v>1.9000000000000234</v>
      </c>
      <c r="E59" s="1">
        <f t="shared" si="31"/>
        <v>3.1200000000085155</v>
      </c>
      <c r="F59" s="1">
        <f t="shared" si="31"/>
        <v>2.4700000000085156</v>
      </c>
      <c r="G59" s="1">
        <f t="shared" si="31"/>
        <v>3.120000000008492</v>
      </c>
      <c r="H59" s="1">
        <f t="shared" si="31"/>
        <v>1.2400000000085152</v>
      </c>
      <c r="I59" s="1">
        <f>I17-J30</f>
        <v>0.12000000000005073</v>
      </c>
      <c r="J59" s="1">
        <f t="shared" si="31"/>
        <v>1.0100000000000513</v>
      </c>
      <c r="K59" s="1">
        <f t="shared" si="31"/>
        <v>1.0999999999999073</v>
      </c>
      <c r="L59" s="1">
        <f t="shared" si="31"/>
        <v>1.2200000000001481</v>
      </c>
      <c r="M59" s="1">
        <f t="shared" si="31"/>
        <v>0.57000000000000028</v>
      </c>
      <c r="N59" s="1">
        <f t="shared" si="31"/>
        <v>1.8800000000000008</v>
      </c>
      <c r="O59" s="1">
        <f t="shared" si="31"/>
        <v>0</v>
      </c>
      <c r="P59" s="11">
        <f t="shared" si="31"/>
        <v>0.12000000000000455</v>
      </c>
      <c r="AD59" s="1"/>
      <c r="AE59" s="1"/>
      <c r="AF59" s="1"/>
      <c r="AG59" s="1"/>
      <c r="AH59" s="1"/>
      <c r="AI59" s="1"/>
      <c r="AJ59" s="1"/>
      <c r="AL59" s="1"/>
      <c r="AM59" s="1"/>
      <c r="AN59" s="1"/>
      <c r="AO59" s="1"/>
      <c r="AP59" s="1"/>
      <c r="AQ59" s="1"/>
      <c r="AR59" s="1"/>
      <c r="AT59" s="1"/>
      <c r="AU59" s="1"/>
      <c r="AV59" s="1"/>
      <c r="AW59" s="1"/>
      <c r="AX59" s="1"/>
      <c r="AY59" s="1"/>
      <c r="BA59" s="1"/>
      <c r="BB59" s="1"/>
      <c r="BC59" s="1"/>
      <c r="BD59" s="1"/>
      <c r="BE59" s="1"/>
      <c r="BG59" s="1"/>
      <c r="BH59" s="1"/>
      <c r="BI59" s="1"/>
      <c r="BK59" s="1"/>
      <c r="BL59" s="1"/>
      <c r="BM59" s="1"/>
      <c r="BO59" s="1"/>
      <c r="BP59" s="1"/>
      <c r="BR59" s="1"/>
    </row>
    <row r="60" spans="1:70" x14ac:dyDescent="0.3">
      <c r="A60" s="1" t="s">
        <v>28</v>
      </c>
      <c r="B60" s="1">
        <f>B18-C31</f>
        <v>0</v>
      </c>
      <c r="C60" s="1">
        <f t="shared" si="31"/>
        <v>2.3500000000000041</v>
      </c>
      <c r="D60" s="1">
        <f t="shared" si="31"/>
        <v>1.9000000000000234</v>
      </c>
      <c r="E60" s="1">
        <f t="shared" si="31"/>
        <v>3.9800000000000688</v>
      </c>
      <c r="F60" s="1">
        <f t="shared" si="31"/>
        <v>3.3300000000000676</v>
      </c>
      <c r="G60" s="1">
        <f t="shared" si="31"/>
        <v>3.9800000000000004</v>
      </c>
      <c r="H60" s="1">
        <f t="shared" si="31"/>
        <v>2.1000000000000689</v>
      </c>
      <c r="I60" s="1">
        <f>I18-J31</f>
        <v>0.56999999999994699</v>
      </c>
      <c r="J60" s="1">
        <f t="shared" si="31"/>
        <v>1.4600000000000044</v>
      </c>
      <c r="K60" s="1">
        <f t="shared" si="31"/>
        <v>1.6700000000001491</v>
      </c>
      <c r="L60" s="1">
        <f t="shared" si="31"/>
        <v>2.8899999999998531</v>
      </c>
      <c r="M60" s="1">
        <f t="shared" si="31"/>
        <v>2.2400000000000038</v>
      </c>
      <c r="N60" s="1">
        <f t="shared" si="31"/>
        <v>3.3800000000000097</v>
      </c>
      <c r="O60" s="1">
        <f t="shared" si="31"/>
        <v>1.5000000000000107</v>
      </c>
      <c r="P60" s="11">
        <f t="shared" si="31"/>
        <v>0</v>
      </c>
      <c r="R60" t="s">
        <v>48</v>
      </c>
      <c r="AD60" s="1"/>
      <c r="AE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R60" s="1"/>
      <c r="AT60" s="1"/>
      <c r="AU60" s="1"/>
      <c r="AV60" s="1"/>
      <c r="AW60" s="1"/>
      <c r="AX60" s="1"/>
      <c r="AY60" s="1"/>
      <c r="BA60" s="1"/>
      <c r="BB60" s="1"/>
      <c r="BC60" s="1"/>
      <c r="BD60" s="1"/>
      <c r="BE60" s="1"/>
      <c r="BG60" s="1"/>
      <c r="BH60" s="1"/>
      <c r="BI60" s="1"/>
      <c r="BK60" s="1"/>
      <c r="BL60" s="1"/>
      <c r="BM60" s="1"/>
      <c r="BO60" s="1"/>
      <c r="BP60" s="1"/>
      <c r="BR60" s="1"/>
    </row>
    <row r="61" spans="1:70" x14ac:dyDescent="0.3">
      <c r="R61" s="1"/>
      <c r="S61" s="6" t="s">
        <v>1</v>
      </c>
      <c r="T61" s="6" t="s">
        <v>2</v>
      </c>
      <c r="U61" s="6" t="s">
        <v>4</v>
      </c>
      <c r="V61" s="6" t="s">
        <v>6</v>
      </c>
      <c r="W61" s="6" t="s">
        <v>8</v>
      </c>
      <c r="X61" s="6" t="s">
        <v>9</v>
      </c>
      <c r="Y61" s="6" t="s">
        <v>11</v>
      </c>
      <c r="Z61" s="6" t="s">
        <v>13</v>
      </c>
      <c r="AA61" s="6" t="s">
        <v>15</v>
      </c>
      <c r="AD61" s="1"/>
      <c r="AE61" s="1"/>
      <c r="AF61" s="1"/>
      <c r="AG61" s="1"/>
      <c r="AH61" s="1"/>
      <c r="AI61" s="1"/>
      <c r="AJ61" s="1"/>
      <c r="AL61" s="1"/>
      <c r="AM61" s="1"/>
      <c r="AN61" s="1"/>
      <c r="AO61" s="1"/>
      <c r="AP61" s="1"/>
      <c r="AQ61" s="1"/>
      <c r="AR61" s="1"/>
      <c r="AT61" s="1"/>
      <c r="AU61" s="1"/>
      <c r="AV61" s="1"/>
      <c r="AW61" s="1"/>
      <c r="AX61" s="1"/>
      <c r="AY61" s="1"/>
      <c r="BA61" s="1"/>
      <c r="BB61" s="1"/>
      <c r="BC61" s="1"/>
      <c r="BD61" s="1"/>
      <c r="BE61" s="1"/>
      <c r="BG61" s="1"/>
      <c r="BH61" s="1"/>
      <c r="BI61" s="1"/>
      <c r="BK61" s="1"/>
      <c r="BL61" s="1"/>
      <c r="BM61" s="1"/>
      <c r="BO61" s="1"/>
      <c r="BP61" s="1"/>
      <c r="BR61" s="1"/>
    </row>
    <row r="62" spans="1:70" x14ac:dyDescent="0.3">
      <c r="R62" s="6" t="s">
        <v>1</v>
      </c>
      <c r="S62" s="1"/>
      <c r="T62" s="1"/>
      <c r="U62" s="1">
        <f>T16-$R$3-$AA$17*(1-AD6)</f>
        <v>-998.54000000000849</v>
      </c>
      <c r="V62" s="1">
        <f>U16-$R$3-$AA$17*(1-AE6)</f>
        <v>-997.6500000000085</v>
      </c>
      <c r="W62" s="1">
        <f t="shared" ref="W62:AA62" si="32">V16-$R$3-$AA$17*(1-AF6)</f>
        <v>-994.41</v>
      </c>
      <c r="X62" s="1">
        <f t="shared" si="32"/>
        <v>-991.31999999999994</v>
      </c>
      <c r="Y62" s="1">
        <f t="shared" si="32"/>
        <v>-988.76</v>
      </c>
      <c r="Z62" s="1">
        <f t="shared" si="32"/>
        <v>-987.53999999999985</v>
      </c>
      <c r="AA62" s="1">
        <f t="shared" si="32"/>
        <v>-982.15999999999985</v>
      </c>
      <c r="AD62" s="6"/>
      <c r="AE62" s="6"/>
      <c r="AF62" s="6"/>
      <c r="AG62" s="6"/>
      <c r="AH62" s="6"/>
      <c r="AI62" s="6"/>
      <c r="AJ62" s="6"/>
      <c r="AK62" s="3"/>
      <c r="AL62" s="6"/>
      <c r="AM62" s="6"/>
      <c r="AN62" s="6"/>
      <c r="AO62" s="6"/>
      <c r="AP62" s="6"/>
      <c r="AQ62" s="6"/>
      <c r="AR62" s="6"/>
      <c r="AS62" s="3"/>
      <c r="AT62" s="6"/>
      <c r="AU62" s="6"/>
      <c r="AV62" s="6"/>
      <c r="AW62" s="6"/>
      <c r="AX62" s="6"/>
      <c r="AY62" s="6"/>
      <c r="AZ62" s="3"/>
      <c r="BA62" s="6"/>
      <c r="BB62" s="6"/>
      <c r="BC62" s="6"/>
      <c r="BD62" s="6"/>
      <c r="BE62" s="6"/>
      <c r="BF62" s="3"/>
      <c r="BG62" s="6"/>
      <c r="BH62" s="6"/>
      <c r="BI62" s="6"/>
      <c r="BJ62" s="3"/>
      <c r="BK62" s="6"/>
      <c r="BL62" s="6"/>
      <c r="BM62" s="6"/>
      <c r="BN62" s="3"/>
      <c r="BO62" s="6"/>
      <c r="BP62" s="6"/>
      <c r="BQ62" s="3"/>
      <c r="BR62" s="6"/>
    </row>
    <row r="63" spans="1:70" x14ac:dyDescent="0.3">
      <c r="R63" s="6" t="s">
        <v>2</v>
      </c>
      <c r="S63" s="1"/>
      <c r="T63" s="1"/>
      <c r="U63" s="1">
        <f>T16-$S$3-$AA$17*(1-AL6)</f>
        <v>-0.89000000000000457</v>
      </c>
      <c r="V63" s="1">
        <f t="shared" ref="V63:AA63" si="33">U16-$S$3-$AA$17*(1-AM6)</f>
        <v>-4.4408920985006262E-15</v>
      </c>
      <c r="W63" s="1">
        <f t="shared" si="33"/>
        <v>-996.75999999999146</v>
      </c>
      <c r="X63" s="1">
        <f t="shared" si="33"/>
        <v>-993.66999999999143</v>
      </c>
      <c r="Y63" s="1">
        <f t="shared" si="33"/>
        <v>-991.10999999999149</v>
      </c>
      <c r="Z63" s="1">
        <f t="shared" si="33"/>
        <v>-989.88999999999135</v>
      </c>
      <c r="AA63" s="1">
        <f t="shared" si="33"/>
        <v>-984.50999999999135</v>
      </c>
      <c r="AD63" s="1"/>
      <c r="AE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R63" s="1"/>
      <c r="AT63" s="1"/>
      <c r="AU63" s="1"/>
      <c r="AV63" s="1"/>
      <c r="AW63" s="1"/>
      <c r="AX63" s="1"/>
      <c r="AY63" s="1"/>
      <c r="BA63" s="1"/>
      <c r="BB63" s="1"/>
      <c r="BC63" s="1"/>
      <c r="BD63" s="1"/>
      <c r="BE63" s="1"/>
      <c r="BG63" s="1"/>
      <c r="BH63" s="1"/>
      <c r="BI63" s="1"/>
      <c r="BK63" s="1"/>
      <c r="BL63" s="1"/>
      <c r="BM63" s="1"/>
      <c r="BO63" s="1"/>
      <c r="BP63" s="1"/>
      <c r="BR63" s="1"/>
    </row>
    <row r="64" spans="1:70" x14ac:dyDescent="0.3">
      <c r="A64" t="s">
        <v>19</v>
      </c>
      <c r="R64" s="6" t="s">
        <v>4</v>
      </c>
      <c r="S64" s="1"/>
      <c r="T64" s="1"/>
      <c r="U64" s="1"/>
      <c r="V64" s="1">
        <f>U16-$T$3-$AA$17*(1-AT6)</f>
        <v>-2.2300000000085154</v>
      </c>
      <c r="W64" s="1">
        <f t="shared" ref="W64:AA64" si="34">V16-$T$3-$AA$17*(1-AU6)</f>
        <v>-998.99</v>
      </c>
      <c r="X64" s="1">
        <f t="shared" si="34"/>
        <v>-995.9</v>
      </c>
      <c r="Y64" s="1">
        <f t="shared" si="34"/>
        <v>-993.34</v>
      </c>
      <c r="Z64" s="1">
        <f t="shared" si="34"/>
        <v>-992.11999999999989</v>
      </c>
      <c r="AA64" s="1">
        <f t="shared" si="34"/>
        <v>-986.7399999999999</v>
      </c>
      <c r="AD64" s="1"/>
      <c r="AE64" s="1"/>
      <c r="AF64" s="1"/>
      <c r="AG64" s="1"/>
      <c r="AH64" s="1"/>
      <c r="AI64" s="1"/>
      <c r="AJ64" s="1"/>
      <c r="AL64" s="1"/>
      <c r="AM64" s="1"/>
      <c r="AN64" s="1"/>
      <c r="AO64" s="1"/>
      <c r="AP64" s="1"/>
      <c r="AQ64" s="1"/>
      <c r="AR64" s="1"/>
      <c r="AT64" s="1"/>
      <c r="AU64" s="1"/>
      <c r="AV64" s="1"/>
      <c r="AW64" s="1"/>
      <c r="AX64" s="1"/>
      <c r="AY64" s="1"/>
      <c r="BA64" s="1"/>
      <c r="BB64" s="1"/>
      <c r="BC64" s="1"/>
      <c r="BD64" s="1"/>
      <c r="BE64" s="1"/>
      <c r="BG64" s="1"/>
      <c r="BH64" s="1"/>
      <c r="BI64" s="1"/>
      <c r="BK64" s="1"/>
      <c r="BL64" s="1"/>
      <c r="BM64" s="1"/>
      <c r="BO64" s="1"/>
      <c r="BP64" s="1"/>
      <c r="BR64" s="1"/>
    </row>
    <row r="65" spans="1:70" x14ac:dyDescent="0.3">
      <c r="A65" t="s">
        <v>20</v>
      </c>
      <c r="R65" s="6" t="s">
        <v>6</v>
      </c>
      <c r="S65" s="1"/>
      <c r="T65" s="1"/>
      <c r="U65" s="1"/>
      <c r="V65" s="1"/>
      <c r="W65" s="1">
        <f>V16-$U$3-$AA$17*(1-BA6)</f>
        <v>-999.88</v>
      </c>
      <c r="X65" s="1">
        <f t="shared" ref="X65:AA65" si="35">W16-$U$3-$AA$17*(1-BB6)</f>
        <v>-996.79</v>
      </c>
      <c r="Y65" s="1">
        <f t="shared" si="35"/>
        <v>-994.23</v>
      </c>
      <c r="Z65" s="1">
        <f t="shared" si="35"/>
        <v>-993.00999999999988</v>
      </c>
      <c r="AA65" s="1">
        <f t="shared" si="35"/>
        <v>-987.62999999999988</v>
      </c>
      <c r="AD65" s="1"/>
      <c r="AE65" s="1"/>
      <c r="AF65" s="1"/>
      <c r="AG65" s="1"/>
      <c r="AH65" s="1"/>
      <c r="AI65" s="1"/>
      <c r="AJ65" s="1"/>
      <c r="AL65" s="1"/>
      <c r="AM65" s="1"/>
      <c r="AN65" s="1"/>
      <c r="AO65" s="1"/>
      <c r="AP65" s="1"/>
      <c r="AQ65" s="1"/>
      <c r="AR65" s="1"/>
      <c r="AT65" s="1"/>
      <c r="AU65" s="1"/>
      <c r="AV65" s="1"/>
      <c r="AW65" s="1"/>
      <c r="AX65" s="1"/>
      <c r="AY65" s="1"/>
      <c r="BA65" s="1"/>
      <c r="BB65" s="1"/>
      <c r="BC65" s="1"/>
      <c r="BD65" s="1"/>
      <c r="BE65" s="1"/>
      <c r="BG65" s="1"/>
      <c r="BH65" s="1"/>
      <c r="BI65" s="1"/>
      <c r="BK65" s="1"/>
      <c r="BL65" s="1"/>
      <c r="BM65" s="1"/>
      <c r="BO65" s="1"/>
      <c r="BP65" s="1"/>
      <c r="BR65" s="1"/>
    </row>
    <row r="66" spans="1:70" x14ac:dyDescent="0.3">
      <c r="A66" t="s">
        <v>23</v>
      </c>
      <c r="R66" s="6" t="s">
        <v>8</v>
      </c>
      <c r="S66" s="1"/>
      <c r="T66" s="1"/>
      <c r="U66" s="1"/>
      <c r="V66" s="1"/>
      <c r="W66" s="1"/>
      <c r="X66" s="1"/>
      <c r="Y66" s="1">
        <f>X16-$V$3-$AA$17*(1-BG6)</f>
        <v>-997.56000000000006</v>
      </c>
      <c r="Z66" s="1">
        <f t="shared" ref="Z66" si="36">Y16-$V$3-$AA$17*(1-BH6)</f>
        <v>-996.33999999999992</v>
      </c>
      <c r="AA66" s="1">
        <f>Z16-$V$3-$AA$17*(1-BI6)</f>
        <v>-990.95999999999992</v>
      </c>
      <c r="AD66" s="1"/>
      <c r="AE66" s="1"/>
      <c r="AF66" s="1"/>
      <c r="AG66" s="1"/>
      <c r="AH66" s="1"/>
      <c r="AI66" s="1"/>
      <c r="AJ66" s="1"/>
      <c r="AL66" s="1"/>
      <c r="AM66" s="1"/>
      <c r="AN66" s="1"/>
      <c r="AO66" s="1"/>
      <c r="AP66" s="1"/>
      <c r="AQ66" s="1"/>
      <c r="AR66" s="1"/>
      <c r="AT66" s="1"/>
      <c r="AU66" s="1"/>
      <c r="AV66" s="1"/>
      <c r="AW66" s="1"/>
      <c r="AX66" s="1"/>
      <c r="AY66" s="1"/>
      <c r="BA66" s="1"/>
      <c r="BB66" s="1"/>
      <c r="BC66" s="1"/>
      <c r="BD66" s="1"/>
      <c r="BE66" s="1"/>
      <c r="BG66" s="1"/>
      <c r="BH66" s="1"/>
      <c r="BI66" s="1"/>
      <c r="BK66" s="1"/>
      <c r="BL66" s="1"/>
      <c r="BM66" s="1"/>
      <c r="BO66" s="1"/>
      <c r="BP66" s="1"/>
      <c r="BR66" s="1"/>
    </row>
    <row r="67" spans="1:70" x14ac:dyDescent="0.3">
      <c r="A67" t="s">
        <v>24</v>
      </c>
      <c r="R67" s="6" t="s">
        <v>9</v>
      </c>
      <c r="S67" s="1"/>
      <c r="T67" s="1"/>
      <c r="U67" s="1"/>
      <c r="V67" s="1"/>
      <c r="W67" s="1"/>
      <c r="X67" s="1"/>
      <c r="Y67" s="1">
        <f>X16-$W$3-$AA$17*(1-BK6)</f>
        <v>-998.45</v>
      </c>
      <c r="Z67" s="1">
        <f t="shared" ref="Z67:AA67" si="37">Y16-$W$3-$AA$17*(1-BL6)</f>
        <v>-997.2299999999999</v>
      </c>
      <c r="AA67" s="1">
        <f t="shared" si="37"/>
        <v>-991.84999999999991</v>
      </c>
      <c r="AD67" s="1"/>
      <c r="AE67" s="1"/>
      <c r="AF67" s="1"/>
      <c r="AG67" s="1"/>
      <c r="AH67" s="1"/>
      <c r="AI67" s="1"/>
      <c r="AJ67" s="1"/>
      <c r="AL67" s="1"/>
      <c r="AM67" s="1"/>
      <c r="AN67" s="1"/>
      <c r="AO67" s="1"/>
      <c r="AP67" s="1"/>
      <c r="AQ67" s="1"/>
      <c r="AR67" s="1"/>
      <c r="AT67" s="1"/>
      <c r="AU67" s="1"/>
      <c r="AV67" s="1"/>
      <c r="AW67" s="1"/>
      <c r="AX67" s="1"/>
      <c r="AY67" s="1"/>
      <c r="BA67" s="1"/>
      <c r="BB67" s="1"/>
      <c r="BC67" s="1"/>
      <c r="BD67" s="1"/>
      <c r="BE67" s="1"/>
      <c r="BG67" s="1"/>
      <c r="BH67" s="1"/>
      <c r="BI67" s="1"/>
      <c r="BK67" s="1"/>
      <c r="BL67" s="1"/>
      <c r="BM67" s="1"/>
      <c r="BO67" s="1"/>
      <c r="BP67" s="1"/>
      <c r="BR67" s="1"/>
    </row>
    <row r="68" spans="1:70" x14ac:dyDescent="0.3">
      <c r="R68" s="6" t="s">
        <v>11</v>
      </c>
      <c r="S68" s="1"/>
      <c r="T68" s="1"/>
      <c r="U68" s="1"/>
      <c r="V68" s="1"/>
      <c r="W68" s="1"/>
      <c r="X68" s="1"/>
      <c r="Y68" s="1"/>
      <c r="Z68" s="1">
        <f>Y16-$X$3-$AA$17*(1-BO6)</f>
        <v>-5.3290705182007514E-15</v>
      </c>
      <c r="AA68" s="1">
        <f>Z16-$X$3-$AA$17*(1-BP6)</f>
        <v>-994.62</v>
      </c>
      <c r="AD68" s="1"/>
      <c r="AE68" s="1"/>
      <c r="AF68" s="1"/>
      <c r="AG68" s="1"/>
      <c r="AH68" s="1"/>
      <c r="AI68" s="1"/>
      <c r="AJ68" s="1"/>
      <c r="AL68" s="1"/>
      <c r="AM68" s="1"/>
      <c r="AN68" s="1"/>
      <c r="AO68" s="1"/>
      <c r="AP68" s="1"/>
      <c r="AQ68" s="1"/>
      <c r="AR68" s="1"/>
      <c r="AT68" s="1"/>
      <c r="AU68" s="1"/>
      <c r="AV68" s="1"/>
      <c r="AW68" s="1"/>
      <c r="AX68" s="1"/>
      <c r="AY68" s="1"/>
      <c r="BA68" s="1"/>
      <c r="BB68" s="1"/>
      <c r="BC68" s="1"/>
      <c r="BD68" s="1"/>
      <c r="BE68" s="1"/>
      <c r="BG68" s="1"/>
      <c r="BH68" s="1"/>
      <c r="BI68" s="1"/>
      <c r="BK68" s="1"/>
      <c r="BL68" s="1"/>
      <c r="BM68" s="1"/>
      <c r="BO68" s="1"/>
      <c r="BP68" s="1"/>
      <c r="BR68" s="1"/>
    </row>
    <row r="69" spans="1:70" x14ac:dyDescent="0.3">
      <c r="R69" s="6" t="s">
        <v>13</v>
      </c>
      <c r="S69" s="1"/>
      <c r="T69" s="1"/>
      <c r="U69" s="1"/>
      <c r="V69" s="1"/>
      <c r="W69" s="1"/>
      <c r="X69" s="1"/>
      <c r="Y69" s="1"/>
      <c r="Z69" s="1"/>
      <c r="AA69" s="1">
        <f>Z16-$Y$3-$AA$17*(1-BR6)</f>
        <v>-996.5</v>
      </c>
      <c r="AD69" s="1"/>
      <c r="AE69" s="1"/>
      <c r="AF69" s="1"/>
      <c r="AG69" s="1"/>
      <c r="AH69" s="1"/>
      <c r="AI69" s="1"/>
      <c r="AJ69" s="1"/>
      <c r="AL69" s="1"/>
      <c r="AM69" s="1"/>
      <c r="AN69" s="1"/>
      <c r="AO69" s="1"/>
      <c r="AP69" s="1"/>
      <c r="AQ69" s="1"/>
      <c r="AR69" s="1"/>
      <c r="AT69" s="1"/>
      <c r="AU69" s="1"/>
      <c r="AV69" s="1"/>
      <c r="AW69" s="1"/>
      <c r="AX69" s="1"/>
      <c r="AY69" s="1"/>
      <c r="BA69" s="1"/>
      <c r="BB69" s="1"/>
      <c r="BC69" s="1"/>
      <c r="BD69" s="1"/>
      <c r="BE69" s="1"/>
      <c r="BG69" s="1"/>
      <c r="BH69" s="1"/>
      <c r="BI69" s="1"/>
      <c r="BK69" s="1"/>
      <c r="BL69" s="1"/>
      <c r="BM69" s="1"/>
      <c r="BO69" s="1"/>
      <c r="BP69" s="1"/>
      <c r="BR69" s="1"/>
    </row>
    <row r="70" spans="1:70" x14ac:dyDescent="0.3">
      <c r="R70" s="6" t="s">
        <v>15</v>
      </c>
      <c r="S70" s="1"/>
      <c r="T70" s="1"/>
      <c r="U70" s="1"/>
      <c r="V70" s="1"/>
      <c r="W70" s="1"/>
      <c r="X70" s="1"/>
      <c r="Y70" s="1"/>
      <c r="Z70" s="1"/>
      <c r="AA70" s="1"/>
      <c r="AD70" s="1"/>
      <c r="AE70" s="1"/>
      <c r="AF70" s="1"/>
      <c r="AG70" s="1"/>
      <c r="AH70" s="1"/>
      <c r="AI70" s="1"/>
      <c r="AJ70" s="1"/>
      <c r="AL70" s="1"/>
      <c r="AM70" s="1"/>
      <c r="AN70" s="1"/>
      <c r="AO70" s="1"/>
      <c r="AP70" s="1"/>
      <c r="AQ70" s="1"/>
      <c r="AR70" s="1"/>
      <c r="AT70" s="1"/>
      <c r="AU70" s="1"/>
      <c r="AV70" s="1"/>
      <c r="AW70" s="1"/>
      <c r="AX70" s="1"/>
      <c r="AY70" s="1"/>
      <c r="BA70" s="1"/>
      <c r="BB70" s="1"/>
      <c r="BC70" s="1"/>
      <c r="BD70" s="1"/>
      <c r="BE70" s="1"/>
      <c r="BG70" s="1"/>
      <c r="BH70" s="1"/>
      <c r="BI70" s="1"/>
      <c r="BK70" s="1"/>
      <c r="BL70" s="1"/>
      <c r="BM70" s="1"/>
      <c r="BO70" s="1"/>
      <c r="BP70" s="1"/>
      <c r="BR70" s="1"/>
    </row>
    <row r="71" spans="1:70" x14ac:dyDescent="0.3">
      <c r="AD71" s="1"/>
      <c r="AE71" s="1"/>
      <c r="AF71" s="1"/>
      <c r="AG71" s="1"/>
      <c r="AH71" s="1"/>
      <c r="AI71" s="1"/>
      <c r="AJ71" s="1"/>
      <c r="AL71" s="1"/>
      <c r="AM71" s="1"/>
      <c r="AN71" s="1"/>
      <c r="AO71" s="1"/>
      <c r="AP71" s="1"/>
      <c r="AQ71" s="1"/>
      <c r="AR71" s="1"/>
      <c r="AT71" s="1"/>
      <c r="AU71" s="1"/>
      <c r="AV71" s="1"/>
      <c r="AW71" s="1"/>
      <c r="AX71" s="1"/>
      <c r="AY71" s="1"/>
      <c r="BA71" s="1"/>
      <c r="BB71" s="1"/>
      <c r="BC71" s="1"/>
      <c r="BD71" s="1"/>
      <c r="BE71" s="1"/>
      <c r="BG71" s="1"/>
      <c r="BH71" s="1"/>
      <c r="BI71" s="1"/>
      <c r="BK71" s="1"/>
      <c r="BL71" s="1"/>
      <c r="BM71" s="1"/>
      <c r="BO71" s="1"/>
      <c r="BP71" s="1"/>
      <c r="BR71" s="1"/>
    </row>
    <row r="72" spans="1:70" x14ac:dyDescent="0.3">
      <c r="AD72" s="1"/>
      <c r="AE72" s="1"/>
      <c r="AF72" s="1"/>
      <c r="AG72" s="1"/>
      <c r="AH72" s="1"/>
      <c r="AI72" s="1"/>
      <c r="AJ72" s="1"/>
      <c r="AL72" s="1"/>
      <c r="AM72" s="1"/>
      <c r="AN72" s="1"/>
      <c r="AO72" s="1"/>
      <c r="AP72" s="1"/>
      <c r="AQ72" s="1"/>
      <c r="AR72" s="1"/>
      <c r="AT72" s="1"/>
      <c r="AU72" s="1"/>
      <c r="AV72" s="1"/>
      <c r="AW72" s="1"/>
      <c r="AX72" s="1"/>
      <c r="AY72" s="1"/>
      <c r="BA72" s="1"/>
      <c r="BB72" s="1"/>
      <c r="BC72" s="1"/>
      <c r="BD72" s="1"/>
      <c r="BE72" s="1"/>
      <c r="BG72" s="1"/>
      <c r="BH72" s="1"/>
      <c r="BI72" s="1"/>
      <c r="BK72" s="1"/>
      <c r="BL72" s="1"/>
      <c r="BM72" s="1"/>
      <c r="BO72" s="1"/>
      <c r="BP72" s="1"/>
      <c r="BR72" s="1"/>
    </row>
    <row r="73" spans="1:70" x14ac:dyDescent="0.3">
      <c r="R73" t="s">
        <v>35</v>
      </c>
      <c r="AD73" s="1"/>
      <c r="AE73" s="1"/>
      <c r="AF73" s="1"/>
      <c r="AG73" s="1"/>
      <c r="AH73" s="1"/>
      <c r="AI73" s="1"/>
      <c r="AJ73" s="1"/>
      <c r="AL73" s="1"/>
      <c r="AM73" s="1"/>
      <c r="AN73" s="1"/>
      <c r="AO73" s="1"/>
      <c r="AP73" s="1"/>
      <c r="AQ73" s="1"/>
      <c r="AR73" s="1"/>
      <c r="AT73" s="1"/>
      <c r="AU73" s="1"/>
      <c r="AV73" s="1"/>
      <c r="AW73" s="1"/>
      <c r="AX73" s="1"/>
      <c r="AY73" s="1"/>
      <c r="BA73" s="1"/>
      <c r="BB73" s="1"/>
      <c r="BC73" s="1"/>
      <c r="BD73" s="1"/>
      <c r="BE73" s="1"/>
      <c r="BG73" s="1"/>
      <c r="BH73" s="1"/>
      <c r="BI73" s="1"/>
      <c r="BK73" s="1"/>
      <c r="BL73" s="1"/>
      <c r="BM73" s="1"/>
      <c r="BO73" s="1"/>
      <c r="BP73" s="1"/>
      <c r="BR73" s="1"/>
    </row>
    <row r="74" spans="1:70" x14ac:dyDescent="0.3">
      <c r="R74" s="1"/>
      <c r="S74" s="6" t="s">
        <v>1</v>
      </c>
      <c r="T74" s="6" t="s">
        <v>2</v>
      </c>
      <c r="U74" s="6" t="s">
        <v>4</v>
      </c>
      <c r="V74" s="6" t="s">
        <v>6</v>
      </c>
      <c r="W74" s="6" t="s">
        <v>8</v>
      </c>
      <c r="X74" s="6" t="s">
        <v>9</v>
      </c>
      <c r="Y74" s="6" t="s">
        <v>11</v>
      </c>
      <c r="Z74" s="6" t="s">
        <v>13</v>
      </c>
      <c r="AA74" s="6" t="s">
        <v>15</v>
      </c>
      <c r="AD74" s="1"/>
      <c r="AE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R74" s="1"/>
      <c r="AT74" s="1"/>
      <c r="AU74" s="1"/>
      <c r="AV74" s="1"/>
      <c r="AW74" s="1"/>
      <c r="AX74" s="1"/>
      <c r="AY74" s="1"/>
      <c r="BA74" s="1"/>
      <c r="BB74" s="1"/>
      <c r="BC74" s="1"/>
      <c r="BD74" s="1"/>
      <c r="BE74" s="1"/>
      <c r="BG74" s="1"/>
      <c r="BH74" s="1"/>
      <c r="BI74" s="1"/>
      <c r="BK74" s="1"/>
      <c r="BL74" s="1"/>
      <c r="BM74" s="1"/>
      <c r="BO74" s="1"/>
      <c r="BP74" s="1"/>
      <c r="BR74" s="1"/>
    </row>
    <row r="75" spans="1:70" x14ac:dyDescent="0.3">
      <c r="R75" s="6" t="s">
        <v>1</v>
      </c>
      <c r="S75" s="1"/>
      <c r="T75" s="1"/>
      <c r="U75" s="1">
        <f>T16-$R$4-$AA$17*(1-AD7)</f>
        <v>-1.7800000000085157</v>
      </c>
      <c r="V75" s="1">
        <f t="shared" ref="V75:AA75" si="38">U16-$R$4-$AA$17*(1-AE7)</f>
        <v>-0.89000000000851553</v>
      </c>
      <c r="W75" s="1">
        <f t="shared" si="38"/>
        <v>-997.65</v>
      </c>
      <c r="X75" s="1">
        <f t="shared" si="38"/>
        <v>-994.56</v>
      </c>
      <c r="Y75" s="1">
        <f t="shared" si="38"/>
        <v>-992</v>
      </c>
      <c r="Z75" s="1">
        <f t="shared" si="38"/>
        <v>-990.77999999999986</v>
      </c>
      <c r="AA75" s="1">
        <f t="shared" si="38"/>
        <v>-985.39999999999986</v>
      </c>
      <c r="AD75" s="1"/>
      <c r="AE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R75" s="1"/>
      <c r="AT75" s="1"/>
      <c r="AU75" s="1"/>
      <c r="AV75" s="1"/>
      <c r="AW75" s="1"/>
      <c r="AX75" s="1"/>
      <c r="AY75" s="1"/>
      <c r="BA75" s="1"/>
      <c r="BB75" s="1"/>
      <c r="BC75" s="1"/>
      <c r="BD75" s="1"/>
      <c r="BE75" s="1"/>
      <c r="BG75" s="1"/>
      <c r="BH75" s="1"/>
      <c r="BI75" s="1"/>
      <c r="BK75" s="1"/>
      <c r="BL75" s="1"/>
      <c r="BM75" s="1"/>
      <c r="BO75" s="1"/>
      <c r="BP75" s="1"/>
      <c r="BR75" s="1"/>
    </row>
    <row r="76" spans="1:70" x14ac:dyDescent="0.3">
      <c r="R76" s="6" t="s">
        <v>2</v>
      </c>
      <c r="S76" s="1"/>
      <c r="T76" s="1"/>
      <c r="U76" s="1">
        <f>T16-$S$4-$AA$17*(1-AL7)</f>
        <v>-4.1300000000085202</v>
      </c>
      <c r="V76" s="1">
        <f t="shared" ref="V76:AA76" si="39">U16-$S$4-$AA$17*(1-AM7)</f>
        <v>-3.2400000000085196</v>
      </c>
      <c r="W76" s="1">
        <f t="shared" si="39"/>
        <v>0</v>
      </c>
      <c r="X76" s="1">
        <f t="shared" si="39"/>
        <v>-996.91</v>
      </c>
      <c r="Y76" s="1">
        <f t="shared" si="39"/>
        <v>-994.35</v>
      </c>
      <c r="Z76" s="1">
        <f t="shared" si="39"/>
        <v>-993.12999999999988</v>
      </c>
      <c r="AA76" s="1">
        <f t="shared" si="39"/>
        <v>-987.74999999999989</v>
      </c>
      <c r="AD76" s="1"/>
      <c r="AE76" s="1"/>
      <c r="AF76" s="1"/>
      <c r="AG76" s="1"/>
      <c r="AH76" s="1"/>
      <c r="AI76" s="1"/>
      <c r="AJ76" s="1"/>
      <c r="AL76" s="1"/>
      <c r="AM76" s="1"/>
      <c r="AN76" s="1"/>
      <c r="AO76" s="1"/>
      <c r="AP76" s="1"/>
      <c r="AQ76" s="1"/>
      <c r="AR76" s="1"/>
      <c r="AT76" s="1"/>
      <c r="AU76" s="1"/>
      <c r="AV76" s="1"/>
      <c r="AW76" s="1"/>
      <c r="AX76" s="1"/>
      <c r="AY76" s="1"/>
      <c r="BA76" s="1"/>
      <c r="BB76" s="1"/>
      <c r="BC76" s="1"/>
      <c r="BD76" s="1"/>
      <c r="BE76" s="1"/>
      <c r="BG76" s="1"/>
      <c r="BH76" s="1"/>
      <c r="BI76" s="1"/>
      <c r="BK76" s="1"/>
      <c r="BL76" s="1"/>
      <c r="BM76" s="1"/>
      <c r="BO76" s="1"/>
      <c r="BP76" s="1"/>
      <c r="BR76" s="1"/>
    </row>
    <row r="77" spans="1:70" x14ac:dyDescent="0.3">
      <c r="R77" s="6" t="s">
        <v>4</v>
      </c>
      <c r="S77" s="1"/>
      <c r="T77" s="1"/>
      <c r="U77" s="1"/>
      <c r="V77" s="1">
        <f>U16-$T$4-$AA$17*(1-AT7)</f>
        <v>-6.3300000000085843</v>
      </c>
      <c r="W77" s="1">
        <f t="shared" ref="W77:AA77" si="40">V16-$T$4-$AA$17*(1-AU7)</f>
        <v>-3.0900000000000647</v>
      </c>
      <c r="X77" s="1">
        <f t="shared" si="40"/>
        <v>-4.6185277824406512E-14</v>
      </c>
      <c r="Y77" s="1">
        <f t="shared" si="40"/>
        <v>-997.44</v>
      </c>
      <c r="Z77" s="1">
        <f t="shared" si="40"/>
        <v>-996.21999999999991</v>
      </c>
      <c r="AA77" s="1">
        <f t="shared" si="40"/>
        <v>-990.83999999999992</v>
      </c>
      <c r="AD77" s="1"/>
      <c r="AE77" s="1"/>
      <c r="AF77" s="1"/>
      <c r="AG77" s="1"/>
      <c r="AH77" s="1"/>
      <c r="AI77" s="1"/>
      <c r="AJ77" s="1"/>
      <c r="AL77" s="1"/>
      <c r="AM77" s="1"/>
      <c r="AN77" s="1"/>
      <c r="AO77" s="1"/>
      <c r="AP77" s="1"/>
      <c r="AQ77" s="1"/>
      <c r="AR77" s="1"/>
      <c r="AT77" s="1"/>
      <c r="AU77" s="1"/>
      <c r="AV77" s="1"/>
      <c r="AW77" s="1"/>
      <c r="AX77" s="1"/>
      <c r="AY77" s="1"/>
      <c r="BA77" s="1"/>
      <c r="BB77" s="1"/>
      <c r="BC77" s="1"/>
      <c r="BD77" s="1"/>
      <c r="BE77" s="1"/>
      <c r="BG77" s="1"/>
      <c r="BH77" s="1"/>
      <c r="BI77" s="1"/>
      <c r="BK77" s="1"/>
      <c r="BL77" s="1"/>
      <c r="BM77" s="1"/>
      <c r="BO77" s="1"/>
      <c r="BP77" s="1"/>
      <c r="BR77" s="1"/>
    </row>
    <row r="78" spans="1:70" x14ac:dyDescent="0.3">
      <c r="R78" s="6" t="s">
        <v>6</v>
      </c>
      <c r="S78" s="1"/>
      <c r="T78" s="1"/>
      <c r="U78" s="1"/>
      <c r="V78" s="1"/>
      <c r="W78" s="1">
        <f>V16-$U$4-$AA$17*(1-BA7)</f>
        <v>-3.9799999999999729</v>
      </c>
      <c r="X78" s="1">
        <f t="shared" ref="X78:AA78" si="41">W16-$U$4-$AA$17*(1-BB7)</f>
        <v>-0.88999999999995438</v>
      </c>
      <c r="Y78" s="1">
        <f t="shared" si="41"/>
        <v>-998.33</v>
      </c>
      <c r="Z78" s="1">
        <f t="shared" si="41"/>
        <v>-997.1099999999999</v>
      </c>
      <c r="AA78" s="1">
        <f t="shared" si="41"/>
        <v>-991.72999999999979</v>
      </c>
      <c r="AD78" s="1"/>
      <c r="AE78" s="1"/>
      <c r="AF78" s="1"/>
      <c r="AG78" s="1"/>
      <c r="AH78" s="1"/>
      <c r="AI78" s="1"/>
      <c r="AJ78" s="1"/>
      <c r="AL78" s="1"/>
      <c r="AM78" s="1"/>
      <c r="AN78" s="1"/>
      <c r="AO78" s="1"/>
      <c r="AP78" s="1"/>
      <c r="AQ78" s="1"/>
      <c r="AR78" s="1"/>
      <c r="AT78" s="1"/>
      <c r="AU78" s="1"/>
      <c r="AV78" s="1"/>
      <c r="AW78" s="1"/>
      <c r="AX78" s="1"/>
      <c r="AY78" s="1"/>
      <c r="BA78" s="1"/>
      <c r="BB78" s="1"/>
      <c r="BC78" s="1"/>
      <c r="BD78" s="1"/>
      <c r="BE78" s="1"/>
      <c r="BG78" s="1"/>
      <c r="BH78" s="1"/>
      <c r="BI78" s="1"/>
      <c r="BK78" s="1"/>
      <c r="BL78" s="1"/>
      <c r="BM78" s="1"/>
      <c r="BO78" s="1"/>
      <c r="BP78" s="1"/>
      <c r="BR78" s="1"/>
    </row>
    <row r="79" spans="1:70" x14ac:dyDescent="0.3">
      <c r="R79" s="6" t="s">
        <v>8</v>
      </c>
      <c r="S79" s="1"/>
      <c r="T79" s="1"/>
      <c r="U79" s="1"/>
      <c r="V79" s="1"/>
      <c r="W79" s="1"/>
      <c r="X79" s="1"/>
      <c r="Y79" s="1">
        <f>X16-$V$4-$AA$17*(1-BG7)</f>
        <v>-0.45000000000009521</v>
      </c>
      <c r="Z79" s="1">
        <f t="shared" ref="Z79:AA79" si="42">Y16-$V$4-$AA$17*(1-BH7)</f>
        <v>-999.2299999999999</v>
      </c>
      <c r="AA79" s="1">
        <f t="shared" si="42"/>
        <v>-993.84999999999991</v>
      </c>
      <c r="AD79" s="1"/>
      <c r="AE79" s="1"/>
      <c r="AF79" s="1"/>
      <c r="AG79" s="1"/>
      <c r="AH79" s="1"/>
      <c r="AI79" s="1"/>
      <c r="AJ79" s="1"/>
      <c r="AL79" s="1"/>
      <c r="AM79" s="1"/>
      <c r="AN79" s="1"/>
      <c r="AO79" s="1"/>
      <c r="AP79" s="1"/>
      <c r="AQ79" s="1"/>
      <c r="AR79" s="1"/>
      <c r="AT79" s="1"/>
      <c r="AU79" s="1"/>
      <c r="AV79" s="1"/>
      <c r="AW79" s="1"/>
      <c r="AX79" s="1"/>
      <c r="AY79" s="1"/>
      <c r="BA79" s="1"/>
      <c r="BB79" s="1"/>
      <c r="BC79" s="1"/>
      <c r="BD79" s="1"/>
      <c r="BE79" s="1"/>
      <c r="BG79" s="1"/>
      <c r="BH79" s="1"/>
      <c r="BI79" s="1"/>
      <c r="BK79" s="1"/>
      <c r="BL79" s="1"/>
      <c r="BM79" s="1"/>
      <c r="BO79" s="1"/>
      <c r="BP79" s="1"/>
      <c r="BR79" s="1"/>
    </row>
    <row r="80" spans="1:70" x14ac:dyDescent="0.3">
      <c r="R80" s="6" t="s">
        <v>9</v>
      </c>
      <c r="S80" s="1"/>
      <c r="T80" s="1"/>
      <c r="U80" s="1"/>
      <c r="V80" s="1"/>
      <c r="W80" s="1"/>
      <c r="X80" s="1"/>
      <c r="Y80" s="1">
        <f>X16-$W$4-$AA$17*(1-BK7)</f>
        <v>-1.3400000000001526</v>
      </c>
      <c r="Z80" s="1">
        <f t="shared" ref="Z80:AA80" si="43">Y16-$W$4-$AA$17*(1-BL7)</f>
        <v>-0.12000000000000988</v>
      </c>
      <c r="AA80" s="1">
        <f t="shared" si="43"/>
        <v>-994.74</v>
      </c>
      <c r="AD80" s="1"/>
      <c r="AE80" s="1"/>
      <c r="AF80" s="1"/>
      <c r="AG80" s="1"/>
      <c r="AH80" s="1"/>
      <c r="AI80" s="1"/>
      <c r="AJ80" s="1"/>
      <c r="AL80" s="1"/>
      <c r="AM80" s="1"/>
      <c r="AN80" s="1"/>
      <c r="AO80" s="1"/>
      <c r="AP80" s="1"/>
      <c r="AQ80" s="1"/>
      <c r="AR80" s="1"/>
      <c r="AT80" s="1"/>
      <c r="AU80" s="1"/>
      <c r="AV80" s="1"/>
      <c r="AW80" s="1"/>
      <c r="AX80" s="1"/>
      <c r="AY80" s="1"/>
      <c r="BA80" s="1"/>
      <c r="BB80" s="1"/>
      <c r="BC80" s="1"/>
      <c r="BD80" s="1"/>
      <c r="BE80" s="1"/>
      <c r="BG80" s="1"/>
      <c r="BH80" s="1"/>
      <c r="BI80" s="1"/>
      <c r="BK80" s="1"/>
      <c r="BL80" s="1"/>
      <c r="BM80" s="1"/>
      <c r="BO80" s="1"/>
      <c r="BP80" s="1"/>
      <c r="BR80" s="1"/>
    </row>
    <row r="81" spans="2:70" x14ac:dyDescent="0.3">
      <c r="R81" s="6" t="s">
        <v>11</v>
      </c>
      <c r="S81" s="1"/>
      <c r="T81" s="1"/>
      <c r="U81" s="1"/>
      <c r="V81" s="1"/>
      <c r="W81" s="1"/>
      <c r="X81" s="1"/>
      <c r="Y81" s="1"/>
      <c r="Z81" s="1">
        <f>Y16-$X$4-$AA$17*(1-BO7)</f>
        <v>-3.0099999999998577</v>
      </c>
      <c r="AA81" s="1">
        <f>Z16-$X$4-$AA$17*(1-BP7)</f>
        <v>-997.62999999999988</v>
      </c>
      <c r="AD81" s="1"/>
      <c r="AE81" s="1"/>
      <c r="AF81" s="1"/>
      <c r="AG81" s="1"/>
      <c r="AH81" s="1"/>
      <c r="AI81" s="1"/>
      <c r="AJ81" s="1"/>
      <c r="AL81" s="1"/>
      <c r="AM81" s="1"/>
      <c r="AN81" s="1"/>
      <c r="AO81" s="1"/>
      <c r="AP81" s="1"/>
      <c r="AQ81" s="1"/>
      <c r="AR81" s="1"/>
      <c r="AT81" s="1"/>
      <c r="AU81" s="1"/>
      <c r="AV81" s="1"/>
      <c r="AW81" s="1"/>
      <c r="AX81" s="1"/>
      <c r="AY81" s="1"/>
      <c r="BA81" s="1"/>
      <c r="BB81" s="1"/>
      <c r="BC81" s="1"/>
      <c r="BD81" s="1"/>
      <c r="BE81" s="1"/>
      <c r="BG81" s="1"/>
      <c r="BH81" s="1"/>
      <c r="BI81" s="1"/>
      <c r="BK81" s="1"/>
      <c r="BL81" s="1"/>
      <c r="BM81" s="1"/>
      <c r="BO81" s="1"/>
      <c r="BP81" s="1"/>
      <c r="BR81" s="1"/>
    </row>
    <row r="82" spans="2:70" x14ac:dyDescent="0.3">
      <c r="R82" s="6" t="s">
        <v>13</v>
      </c>
      <c r="S82" s="1"/>
      <c r="T82" s="1"/>
      <c r="U82" s="1"/>
      <c r="V82" s="1"/>
      <c r="W82" s="1"/>
      <c r="X82" s="1"/>
      <c r="Y82" s="1"/>
      <c r="Z82" s="1"/>
      <c r="AA82" s="1">
        <f>Z16-$Y$4-$AA$17*(1-BR7)</f>
        <v>0</v>
      </c>
      <c r="AD82" s="1"/>
      <c r="AE82" s="1"/>
      <c r="AF82" s="1"/>
      <c r="AG82" s="1"/>
      <c r="AH82" s="1"/>
      <c r="AI82" s="1"/>
      <c r="AJ82" s="1"/>
      <c r="AL82" s="1"/>
      <c r="AM82" s="1"/>
      <c r="AN82" s="1"/>
      <c r="AO82" s="1"/>
      <c r="AP82" s="1"/>
      <c r="AQ82" s="1"/>
      <c r="AR82" s="1"/>
      <c r="AT82" s="1"/>
      <c r="AU82" s="1"/>
      <c r="AV82" s="1"/>
      <c r="AW82" s="1"/>
      <c r="AX82" s="1"/>
      <c r="AY82" s="1"/>
      <c r="BA82" s="1"/>
      <c r="BB82" s="1"/>
      <c r="BC82" s="1"/>
      <c r="BD82" s="1"/>
      <c r="BE82" s="1"/>
      <c r="BG82" s="1"/>
      <c r="BH82" s="1"/>
      <c r="BI82" s="1"/>
      <c r="BK82" s="1"/>
      <c r="BL82" s="1"/>
      <c r="BM82" s="1"/>
      <c r="BO82" s="1"/>
      <c r="BP82" s="1"/>
      <c r="BR82" s="1"/>
    </row>
    <row r="83" spans="2:70" x14ac:dyDescent="0.3">
      <c r="R83" s="6" t="s">
        <v>15</v>
      </c>
      <c r="S83" s="1"/>
      <c r="T83" s="1"/>
      <c r="U83" s="1"/>
      <c r="V83" s="1"/>
      <c r="W83" s="1"/>
      <c r="X83" s="1"/>
      <c r="Y83" s="1"/>
      <c r="Z83" s="1"/>
      <c r="AA83" s="1"/>
      <c r="AD83" s="1"/>
      <c r="AE83" s="1"/>
      <c r="AF83" s="1"/>
      <c r="AG83" s="1"/>
      <c r="AH83" s="1"/>
      <c r="AI83" s="1"/>
      <c r="AJ83" s="1"/>
      <c r="AL83" s="1"/>
      <c r="AM83" s="1"/>
      <c r="AN83" s="1"/>
      <c r="AO83" s="1"/>
      <c r="AP83" s="1"/>
      <c r="AQ83" s="1"/>
      <c r="AR83" s="1"/>
      <c r="AT83" s="1"/>
      <c r="AU83" s="1"/>
      <c r="AV83" s="1"/>
      <c r="AW83" s="1"/>
      <c r="AX83" s="1"/>
      <c r="AY83" s="1"/>
      <c r="BA83" s="1"/>
      <c r="BB83" s="1"/>
      <c r="BC83" s="1"/>
      <c r="BD83" s="1"/>
      <c r="BE83" s="1"/>
      <c r="BG83" s="1"/>
      <c r="BH83" s="1"/>
      <c r="BI83" s="1"/>
      <c r="BK83" s="1"/>
      <c r="BL83" s="1"/>
      <c r="BM83" s="1"/>
      <c r="BO83" s="1"/>
      <c r="BP83" s="1"/>
      <c r="BR83" s="1"/>
    </row>
    <row r="84" spans="2:70" x14ac:dyDescent="0.3">
      <c r="AD84" s="1"/>
      <c r="AE84" s="1"/>
      <c r="AF84" s="1"/>
      <c r="AG84" s="1"/>
      <c r="AH84" s="1"/>
      <c r="AI84" s="1"/>
      <c r="AJ84" s="1"/>
      <c r="AL84" s="1"/>
      <c r="AM84" s="1"/>
      <c r="AN84" s="1"/>
      <c r="AO84" s="1"/>
      <c r="AP84" s="1"/>
      <c r="AQ84" s="1"/>
      <c r="AR84" s="1"/>
      <c r="AT84" s="1"/>
      <c r="AU84" s="1"/>
      <c r="AV84" s="1"/>
      <c r="AW84" s="1"/>
      <c r="AX84" s="1"/>
      <c r="AY84" s="1"/>
      <c r="BA84" s="1"/>
      <c r="BB84" s="1"/>
      <c r="BC84" s="1"/>
      <c r="BD84" s="1"/>
      <c r="BE84" s="1"/>
      <c r="BG84" s="1"/>
      <c r="BH84" s="1"/>
      <c r="BI84" s="1"/>
      <c r="BK84" s="1"/>
      <c r="BL84" s="1"/>
      <c r="BM84" s="1"/>
      <c r="BO84" s="1"/>
      <c r="BP84" s="1"/>
      <c r="BR84" s="1"/>
    </row>
    <row r="85" spans="2:70" x14ac:dyDescent="0.3">
      <c r="R85" s="1" t="s">
        <v>34</v>
      </c>
      <c r="S85" s="6" t="s">
        <v>1</v>
      </c>
      <c r="T85" s="6" t="s">
        <v>2</v>
      </c>
      <c r="U85" s="6" t="s">
        <v>4</v>
      </c>
      <c r="V85" s="6" t="s">
        <v>6</v>
      </c>
      <c r="W85" s="6" t="s">
        <v>8</v>
      </c>
      <c r="X85" s="6" t="s">
        <v>9</v>
      </c>
      <c r="Y85" s="6" t="s">
        <v>11</v>
      </c>
      <c r="Z85" s="6" t="s">
        <v>13</v>
      </c>
      <c r="AA85" s="6" t="s">
        <v>15</v>
      </c>
      <c r="AD85" s="1"/>
      <c r="AE85" s="1"/>
      <c r="AF85" s="1"/>
      <c r="AG85" s="1"/>
      <c r="AH85" s="1"/>
      <c r="AI85" s="1"/>
      <c r="AJ85" s="1"/>
      <c r="AL85" s="1"/>
      <c r="AM85" s="1"/>
      <c r="AN85" s="1"/>
      <c r="AO85" s="1"/>
      <c r="AP85" s="1"/>
      <c r="AQ85" s="1"/>
      <c r="AR85" s="1"/>
      <c r="AT85" s="1"/>
      <c r="AU85" s="1"/>
      <c r="AV85" s="1"/>
      <c r="AW85" s="1"/>
      <c r="AX85" s="1"/>
      <c r="AY85" s="1"/>
      <c r="BA85" s="1"/>
      <c r="BB85" s="1"/>
      <c r="BC85" s="1"/>
      <c r="BD85" s="1"/>
      <c r="BE85" s="1"/>
      <c r="BG85" s="1"/>
      <c r="BH85" s="1"/>
      <c r="BI85" s="1"/>
      <c r="BK85" s="1"/>
      <c r="BL85" s="1"/>
      <c r="BM85" s="1"/>
      <c r="BO85" s="1"/>
      <c r="BP85" s="1"/>
      <c r="BR85" s="1"/>
    </row>
    <row r="86" spans="2:70" x14ac:dyDescent="0.3">
      <c r="R86" s="6" t="s">
        <v>1</v>
      </c>
      <c r="S86" s="1"/>
      <c r="T86" s="1"/>
      <c r="U86" s="1">
        <f>T17-$R$4-$AA$17*(1-AD8)</f>
        <v>-998.54</v>
      </c>
      <c r="V86" s="1">
        <f t="shared" ref="V86:AA86" si="44">U17-$R$4-$AA$17*(1-AE8)</f>
        <v>-997.65</v>
      </c>
      <c r="W86" s="1">
        <f t="shared" si="44"/>
        <v>-993.67</v>
      </c>
      <c r="X86" s="1">
        <f t="shared" si="44"/>
        <v>-992.11999999999989</v>
      </c>
      <c r="Y86" s="1">
        <f t="shared" si="44"/>
        <v>-990.65999999999985</v>
      </c>
      <c r="Z86" s="1">
        <f t="shared" si="44"/>
        <v>-988.77999999999986</v>
      </c>
      <c r="AA86" s="1">
        <f t="shared" si="44"/>
        <v>-983.02999999999986</v>
      </c>
      <c r="AD86" s="1"/>
      <c r="AE86" s="1"/>
      <c r="AF86" s="1"/>
      <c r="AG86" s="1"/>
      <c r="AH86" s="1"/>
      <c r="AI86" s="1"/>
      <c r="AJ86" s="1"/>
      <c r="AL86" s="1"/>
      <c r="AM86" s="1"/>
      <c r="AN86" s="1"/>
      <c r="AO86" s="1"/>
      <c r="AP86" s="1"/>
      <c r="AQ86" s="1"/>
      <c r="AR86" s="1"/>
      <c r="AT86" s="1"/>
      <c r="AU86" s="1"/>
      <c r="AV86" s="1"/>
      <c r="AW86" s="1"/>
      <c r="AX86" s="1"/>
      <c r="AY86" s="1"/>
      <c r="BA86" s="1"/>
      <c r="BB86" s="1"/>
      <c r="BC86" s="1"/>
      <c r="BD86" s="1"/>
      <c r="BE86" s="1"/>
      <c r="BG86" s="1"/>
      <c r="BH86" s="1"/>
      <c r="BI86" s="1"/>
      <c r="BK86" s="1"/>
      <c r="BL86" s="1"/>
      <c r="BM86" s="1"/>
      <c r="BO86" s="1"/>
      <c r="BP86" s="1"/>
      <c r="BR86" s="1"/>
    </row>
    <row r="87" spans="2:70" x14ac:dyDescent="0.3">
      <c r="R87" s="6" t="s">
        <v>2</v>
      </c>
      <c r="S87" s="1"/>
      <c r="T87" s="1"/>
      <c r="U87" s="1">
        <f>T17-$S$4-$AA$17*(1-AL8)</f>
        <v>-0.89000000000000412</v>
      </c>
      <c r="V87" s="1">
        <f t="shared" ref="V87:AA87" si="45">U17-$S$4-$AA$17*(1-AM8)</f>
        <v>-2.7533531010703882E-14</v>
      </c>
      <c r="W87" s="1">
        <f t="shared" si="45"/>
        <v>-996.02</v>
      </c>
      <c r="X87" s="1">
        <f t="shared" si="45"/>
        <v>-994.46999999999991</v>
      </c>
      <c r="Y87" s="1">
        <f t="shared" si="45"/>
        <v>-993.00999999999988</v>
      </c>
      <c r="Z87" s="1">
        <f t="shared" si="45"/>
        <v>-991.12999999999988</v>
      </c>
      <c r="AA87" s="1">
        <f t="shared" si="45"/>
        <v>-985.37999999999988</v>
      </c>
      <c r="AD87" s="1"/>
      <c r="AE87" s="1"/>
      <c r="AF87" s="1"/>
      <c r="AG87" s="1"/>
      <c r="AH87" s="1"/>
      <c r="AI87" s="1"/>
      <c r="AJ87" s="1"/>
      <c r="AL87" s="1"/>
      <c r="AM87" s="1"/>
      <c r="AN87" s="1"/>
      <c r="AO87" s="1"/>
      <c r="AP87" s="1"/>
      <c r="AQ87" s="1"/>
      <c r="AR87" s="1"/>
      <c r="AT87" s="1"/>
      <c r="AU87" s="1"/>
      <c r="AV87" s="1"/>
      <c r="AW87" s="1"/>
      <c r="AX87" s="1"/>
      <c r="AY87" s="1"/>
      <c r="BA87" s="1"/>
      <c r="BB87" s="1"/>
      <c r="BC87" s="1"/>
      <c r="BD87" s="1"/>
      <c r="BE87" s="1"/>
      <c r="BG87" s="1"/>
      <c r="BH87" s="1"/>
      <c r="BI87" s="1"/>
      <c r="BK87" s="1"/>
      <c r="BL87" s="1"/>
      <c r="BM87" s="1"/>
      <c r="BO87" s="1"/>
      <c r="BP87" s="1"/>
      <c r="BR87" s="1"/>
    </row>
    <row r="88" spans="2:70" x14ac:dyDescent="0.3">
      <c r="R88" s="6" t="s">
        <v>4</v>
      </c>
      <c r="S88" s="1"/>
      <c r="T88" s="1"/>
      <c r="U88" s="1"/>
      <c r="V88" s="1">
        <f>U17-$T$4-$AA$17*(1-AT8)</f>
        <v>-3.0900000000000922</v>
      </c>
      <c r="W88" s="1">
        <f t="shared" ref="W88:AA88" si="46">V17-$T$4-$AA$17*(1-AU8)</f>
        <v>-999.11</v>
      </c>
      <c r="X88" s="1">
        <f t="shared" si="46"/>
        <v>-997.56</v>
      </c>
      <c r="Y88" s="1">
        <f t="shared" si="46"/>
        <v>-996.09999999999991</v>
      </c>
      <c r="Z88" s="1">
        <f t="shared" si="46"/>
        <v>-994.21999999999991</v>
      </c>
      <c r="AA88" s="1">
        <f t="shared" si="46"/>
        <v>-988.46999999999991</v>
      </c>
      <c r="AD88" s="1"/>
      <c r="AE88" s="1"/>
      <c r="AF88" s="1"/>
      <c r="AG88" s="1"/>
      <c r="AH88" s="1"/>
      <c r="AI88" s="1"/>
      <c r="AJ88" s="1"/>
      <c r="AL88" s="1"/>
      <c r="AM88" s="1"/>
      <c r="AN88" s="1"/>
      <c r="AO88" s="1"/>
      <c r="AP88" s="1"/>
      <c r="AQ88" s="1"/>
      <c r="AR88" s="1"/>
      <c r="AT88" s="1"/>
      <c r="AU88" s="1"/>
      <c r="AV88" s="1"/>
      <c r="AW88" s="1"/>
      <c r="AX88" s="1"/>
      <c r="AY88" s="1"/>
      <c r="BA88" s="1"/>
      <c r="BB88" s="1"/>
      <c r="BC88" s="1"/>
      <c r="BD88" s="1"/>
      <c r="BE88" s="1"/>
      <c r="BG88" s="1"/>
      <c r="BH88" s="1"/>
      <c r="BI88" s="1"/>
      <c r="BK88" s="1"/>
      <c r="BL88" s="1"/>
      <c r="BM88" s="1"/>
      <c r="BO88" s="1"/>
      <c r="BP88" s="1"/>
      <c r="BR88" s="1"/>
    </row>
    <row r="89" spans="2:70" x14ac:dyDescent="0.3">
      <c r="B89" s="1" t="s">
        <v>61</v>
      </c>
      <c r="C89" s="6" t="s">
        <v>1</v>
      </c>
      <c r="D89" s="6" t="s">
        <v>2</v>
      </c>
      <c r="E89" s="6" t="s">
        <v>4</v>
      </c>
      <c r="F89" s="6" t="s">
        <v>6</v>
      </c>
      <c r="G89" s="6" t="s">
        <v>8</v>
      </c>
      <c r="H89" s="6" t="s">
        <v>9</v>
      </c>
      <c r="I89" s="6" t="s">
        <v>11</v>
      </c>
      <c r="J89" s="6" t="s">
        <v>13</v>
      </c>
      <c r="K89" s="6" t="s">
        <v>15</v>
      </c>
      <c r="R89" s="6" t="s">
        <v>6</v>
      </c>
      <c r="S89" s="1"/>
      <c r="T89" s="1"/>
      <c r="U89" s="1"/>
      <c r="V89" s="1"/>
      <c r="W89" s="1">
        <f>V17-$U$4-$AA$17*(1-BA8)</f>
        <v>4.6185277824406512E-14</v>
      </c>
      <c r="X89" s="1">
        <f t="shared" ref="X89:AA89" si="47">W17-$U$4-$AA$17*(1-BB8)</f>
        <v>-998.44999999999982</v>
      </c>
      <c r="Y89" s="1">
        <f t="shared" si="47"/>
        <v>-996.9899999999999</v>
      </c>
      <c r="Z89" s="1">
        <f t="shared" si="47"/>
        <v>-995.1099999999999</v>
      </c>
      <c r="AA89" s="1">
        <f t="shared" si="47"/>
        <v>-989.3599999999999</v>
      </c>
      <c r="AD89" s="1"/>
      <c r="AE89" s="1"/>
      <c r="AF89" s="1"/>
      <c r="AG89" s="1"/>
      <c r="AH89" s="1"/>
      <c r="AI89" s="1"/>
      <c r="AJ89" s="1"/>
      <c r="AL89" s="1"/>
      <c r="AM89" s="1"/>
      <c r="AN89" s="1"/>
      <c r="AO89" s="1"/>
      <c r="AP89" s="1"/>
      <c r="AQ89" s="1"/>
      <c r="AR89" s="1"/>
      <c r="AT89" s="1"/>
      <c r="AU89" s="1"/>
      <c r="AV89" s="1"/>
      <c r="AW89" s="1"/>
      <c r="AX89" s="1"/>
      <c r="AY89" s="1"/>
      <c r="BA89" s="1"/>
      <c r="BB89" s="1"/>
      <c r="BC89" s="1"/>
      <c r="BD89" s="1"/>
      <c r="BE89" s="1"/>
      <c r="BG89" s="1"/>
      <c r="BH89" s="1"/>
      <c r="BI89" s="1"/>
      <c r="BK89" s="1"/>
      <c r="BL89" s="1"/>
      <c r="BM89" s="1"/>
      <c r="BO89" s="1"/>
      <c r="BP89" s="1"/>
      <c r="BR89" s="1"/>
    </row>
    <row r="90" spans="2:70" x14ac:dyDescent="0.3">
      <c r="B90" s="6" t="s">
        <v>1</v>
      </c>
      <c r="C90" s="1"/>
      <c r="D90" s="1"/>
      <c r="E90" s="18">
        <f>SUM(AD3,AD4,AD6,AD7)</f>
        <v>2</v>
      </c>
      <c r="F90" s="18">
        <f t="shared" ref="F90:K90" si="48">SUM(AE3,AE4,AE6,AE7)</f>
        <v>2</v>
      </c>
      <c r="G90" s="18">
        <f t="shared" si="48"/>
        <v>2</v>
      </c>
      <c r="H90" s="18">
        <f t="shared" si="48"/>
        <v>2</v>
      </c>
      <c r="I90" s="18">
        <f t="shared" si="48"/>
        <v>2</v>
      </c>
      <c r="J90" s="18">
        <f t="shared" si="48"/>
        <v>2</v>
      </c>
      <c r="K90" s="18">
        <f t="shared" si="48"/>
        <v>2</v>
      </c>
      <c r="R90" s="6" t="s">
        <v>8</v>
      </c>
      <c r="S90" s="1"/>
      <c r="T90" s="1"/>
      <c r="U90" s="1"/>
      <c r="V90" s="1"/>
      <c r="W90" s="1"/>
      <c r="X90" s="1"/>
      <c r="Y90" s="1">
        <f>X17-$V$4-$AA$17*(1-BG8)</f>
        <v>-999.1099999999999</v>
      </c>
      <c r="Z90" s="1">
        <f>Y17-$V$4-$AA$17*(1-BH8)</f>
        <v>-997.2299999999999</v>
      </c>
      <c r="AA90" s="1">
        <f>Z17-$V$4-$AA$17*(1-BI8)</f>
        <v>-991.4799999999999</v>
      </c>
      <c r="AD90" s="1"/>
      <c r="AE90" s="1"/>
      <c r="AF90" s="1"/>
      <c r="AG90" s="1"/>
      <c r="AH90" s="1"/>
      <c r="AI90" s="1"/>
      <c r="AJ90" s="1"/>
      <c r="AL90" s="1"/>
      <c r="AM90" s="1"/>
      <c r="AN90" s="1"/>
      <c r="AO90" s="1"/>
      <c r="AP90" s="1"/>
      <c r="AQ90" s="1"/>
      <c r="AR90" s="1"/>
      <c r="AT90" s="1"/>
      <c r="AU90" s="1"/>
      <c r="AV90" s="1"/>
      <c r="AW90" s="1"/>
      <c r="AX90" s="1"/>
      <c r="AY90" s="1"/>
      <c r="BA90" s="1"/>
      <c r="BB90" s="1"/>
      <c r="BC90" s="1"/>
      <c r="BD90" s="1"/>
      <c r="BE90" s="1"/>
      <c r="BG90" s="1"/>
      <c r="BH90" s="1"/>
      <c r="BI90" s="1"/>
      <c r="BK90" s="1"/>
      <c r="BL90" s="1"/>
      <c r="BM90" s="1"/>
      <c r="BO90" s="1"/>
      <c r="BP90" s="1"/>
      <c r="BR90" s="1"/>
    </row>
    <row r="91" spans="2:70" x14ac:dyDescent="0.3">
      <c r="B91" s="6" t="s">
        <v>2</v>
      </c>
      <c r="C91" s="1"/>
      <c r="D91" s="1"/>
      <c r="E91" s="18">
        <f>SUM(AL3,AL4,AL6,AL7)</f>
        <v>2</v>
      </c>
      <c r="F91" s="18">
        <f t="shared" ref="F91:K91" si="49">SUM(AM3,AM4,AM6,AM7)</f>
        <v>2</v>
      </c>
      <c r="G91" s="18">
        <f t="shared" si="49"/>
        <v>2</v>
      </c>
      <c r="H91" s="18">
        <f t="shared" si="49"/>
        <v>2</v>
      </c>
      <c r="I91" s="18">
        <f t="shared" si="49"/>
        <v>2</v>
      </c>
      <c r="J91" s="18">
        <f t="shared" si="49"/>
        <v>2</v>
      </c>
      <c r="K91" s="18">
        <f t="shared" si="49"/>
        <v>2</v>
      </c>
      <c r="R91" s="6" t="s">
        <v>9</v>
      </c>
      <c r="S91" s="1"/>
      <c r="T91" s="1"/>
      <c r="U91" s="1"/>
      <c r="V91" s="1"/>
      <c r="W91" s="1"/>
      <c r="X91" s="1"/>
      <c r="Y91" s="1">
        <f>X17-$W$4-$AA$17*(1-BK8)</f>
        <v>-5.3290705182007514E-15</v>
      </c>
      <c r="Z91" s="1">
        <f>Y17-$W$4-$AA$17*(1-BL8)</f>
        <v>-998.12</v>
      </c>
      <c r="AA91" s="1">
        <f>Z17-$W$4-$AA$17*(1-BM8)</f>
        <v>-992.37</v>
      </c>
      <c r="AD91" s="1"/>
      <c r="AE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T91" s="1"/>
      <c r="AU91" s="1"/>
      <c r="AV91" s="1"/>
      <c r="AW91" s="1"/>
      <c r="AX91" s="1"/>
      <c r="AY91" s="1"/>
      <c r="BA91" s="1"/>
      <c r="BB91" s="1"/>
      <c r="BC91" s="1"/>
      <c r="BD91" s="1"/>
      <c r="BE91" s="1"/>
      <c r="BG91" s="1"/>
      <c r="BH91" s="1"/>
      <c r="BI91" s="1"/>
      <c r="BK91" s="1"/>
      <c r="BL91" s="1"/>
      <c r="BM91" s="1"/>
      <c r="BO91" s="1"/>
      <c r="BP91" s="1"/>
      <c r="BR91" s="1"/>
    </row>
    <row r="92" spans="2:70" x14ac:dyDescent="0.3">
      <c r="B92" s="6" t="s">
        <v>4</v>
      </c>
      <c r="C92" s="1"/>
      <c r="D92" s="1"/>
      <c r="E92" s="1"/>
      <c r="F92" s="13">
        <f>SUM(AT3,AT4,AT6,AT7)</f>
        <v>2</v>
      </c>
      <c r="G92" s="13">
        <f t="shared" ref="G92:K92" si="50">SUM(AU3,AU4,AU6,AU7)</f>
        <v>2</v>
      </c>
      <c r="H92" s="13">
        <f t="shared" si="50"/>
        <v>2</v>
      </c>
      <c r="I92" s="13">
        <f t="shared" si="50"/>
        <v>2</v>
      </c>
      <c r="J92" s="13">
        <f t="shared" si="50"/>
        <v>2</v>
      </c>
      <c r="K92" s="13">
        <f t="shared" si="50"/>
        <v>2</v>
      </c>
      <c r="R92" s="6" t="s">
        <v>11</v>
      </c>
      <c r="S92" s="1"/>
      <c r="T92" s="1"/>
      <c r="U92" s="1"/>
      <c r="V92" s="1"/>
      <c r="W92" s="1"/>
      <c r="X92" s="1"/>
      <c r="Y92" s="1"/>
      <c r="Z92" s="1">
        <f>Y17-$X$4-$AA$17*(1-BO8)</f>
        <v>-1.0099999999998559</v>
      </c>
      <c r="AA92" s="1">
        <f>Z17-$X$4-$AA$17*(1-BP8)</f>
        <v>-995.25999999999988</v>
      </c>
      <c r="AD92" s="1"/>
      <c r="AE92" s="1"/>
      <c r="AF92" s="1"/>
      <c r="AG92" s="1"/>
      <c r="AH92" s="1"/>
      <c r="AI92" s="1"/>
      <c r="AJ92" s="1"/>
      <c r="AL92" s="1"/>
      <c r="AM92" s="1"/>
      <c r="AN92" s="1"/>
      <c r="AO92" s="1"/>
      <c r="AP92" s="1"/>
      <c r="AQ92" s="1"/>
      <c r="AR92" s="1"/>
      <c r="AT92" s="1"/>
      <c r="AU92" s="1"/>
      <c r="AV92" s="1"/>
      <c r="AW92" s="1"/>
      <c r="AX92" s="1"/>
      <c r="AY92" s="1"/>
      <c r="BA92" s="1"/>
      <c r="BB92" s="1"/>
      <c r="BC92" s="1"/>
      <c r="BD92" s="1"/>
      <c r="BE92" s="1"/>
      <c r="BG92" s="1"/>
      <c r="BH92" s="1"/>
      <c r="BI92" s="1"/>
      <c r="BK92" s="1"/>
      <c r="BL92" s="1"/>
      <c r="BM92" s="1"/>
      <c r="BO92" s="1"/>
      <c r="BP92" s="1"/>
      <c r="BR92" s="1"/>
    </row>
    <row r="93" spans="2:70" x14ac:dyDescent="0.3">
      <c r="B93" s="6" t="s">
        <v>6</v>
      </c>
      <c r="C93" s="1"/>
      <c r="D93" s="1"/>
      <c r="E93" s="1"/>
      <c r="F93" s="1"/>
      <c r="G93" s="13">
        <f>SUM(BA3,BA4,BA6,BA7)</f>
        <v>2</v>
      </c>
      <c r="H93" s="13">
        <f t="shared" ref="H93:K93" si="51">SUM(BB3,BB4,BB6,BB7)</f>
        <v>2</v>
      </c>
      <c r="I93" s="13">
        <f t="shared" si="51"/>
        <v>2</v>
      </c>
      <c r="J93" s="13">
        <f t="shared" si="51"/>
        <v>2</v>
      </c>
      <c r="K93" s="13">
        <f t="shared" si="51"/>
        <v>2</v>
      </c>
      <c r="Q93" s="5"/>
      <c r="R93" s="6" t="s">
        <v>13</v>
      </c>
      <c r="S93" s="1"/>
      <c r="T93" s="1"/>
      <c r="U93" s="1"/>
      <c r="V93" s="1"/>
      <c r="W93" s="1"/>
      <c r="X93" s="1"/>
      <c r="Y93" s="1"/>
      <c r="Z93" s="1"/>
      <c r="AA93" s="1">
        <f>Z17-$Y$4-$AA$17*(1-BR8)</f>
        <v>-997.63</v>
      </c>
      <c r="AD93" s="1"/>
      <c r="AE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T93" s="1"/>
      <c r="AU93" s="1"/>
      <c r="AV93" s="1"/>
      <c r="AW93" s="1"/>
      <c r="AX93" s="1"/>
      <c r="AY93" s="1"/>
      <c r="BA93" s="1"/>
      <c r="BB93" s="1"/>
      <c r="BC93" s="1"/>
      <c r="BD93" s="1"/>
      <c r="BE93" s="1"/>
      <c r="BG93" s="1"/>
      <c r="BH93" s="1"/>
      <c r="BI93" s="1"/>
      <c r="BK93" s="1"/>
      <c r="BL93" s="1"/>
      <c r="BM93" s="1"/>
      <c r="BO93" s="1"/>
      <c r="BP93" s="1"/>
      <c r="BR93" s="1"/>
    </row>
    <row r="94" spans="2:70" x14ac:dyDescent="0.3">
      <c r="B94" s="6" t="s">
        <v>8</v>
      </c>
      <c r="C94" s="1"/>
      <c r="D94" s="1"/>
      <c r="E94" s="1"/>
      <c r="F94" s="1"/>
      <c r="G94" s="8"/>
      <c r="H94" s="1"/>
      <c r="I94" s="13">
        <f>SUM(BG3,BG4,BG6,BG7)</f>
        <v>2</v>
      </c>
      <c r="J94" s="13">
        <f t="shared" ref="J94:K94" si="52">SUM(BH3,BH4,BH6,BH7)</f>
        <v>2</v>
      </c>
      <c r="K94" s="13">
        <f t="shared" si="52"/>
        <v>2</v>
      </c>
      <c r="R94" s="6" t="s">
        <v>15</v>
      </c>
      <c r="S94" s="1"/>
      <c r="T94" s="1"/>
      <c r="U94" s="1"/>
      <c r="V94" s="1"/>
      <c r="W94" s="1"/>
      <c r="X94" s="1"/>
      <c r="Y94" s="1"/>
      <c r="Z94" s="1"/>
      <c r="AA94" s="1"/>
      <c r="AD94" s="1"/>
      <c r="AE94" s="1"/>
      <c r="AF94" s="1"/>
      <c r="AG94" s="1"/>
      <c r="AH94" s="1"/>
      <c r="AI94" s="1"/>
      <c r="AJ94" s="1"/>
      <c r="AL94" s="1"/>
      <c r="AM94" s="1"/>
      <c r="AN94" s="1"/>
      <c r="AO94" s="1"/>
      <c r="AP94" s="1"/>
      <c r="AQ94" s="1"/>
      <c r="AR94" s="1"/>
      <c r="AT94" s="1"/>
      <c r="AU94" s="1"/>
      <c r="AV94" s="1"/>
      <c r="AW94" s="1"/>
      <c r="AX94" s="1"/>
      <c r="AY94" s="1"/>
      <c r="BA94" s="1"/>
      <c r="BB94" s="1"/>
      <c r="BC94" s="1"/>
      <c r="BD94" s="1"/>
      <c r="BE94" s="1"/>
      <c r="BG94" s="1"/>
      <c r="BH94" s="1"/>
      <c r="BI94" s="1"/>
      <c r="BK94" s="1"/>
      <c r="BL94" s="1"/>
      <c r="BM94" s="1"/>
      <c r="BO94" s="1"/>
      <c r="BP94" s="1"/>
      <c r="BR94" s="1"/>
    </row>
    <row r="95" spans="2:70" x14ac:dyDescent="0.3">
      <c r="B95" s="6" t="s">
        <v>9</v>
      </c>
      <c r="C95" s="1"/>
      <c r="D95" s="1"/>
      <c r="E95" s="1"/>
      <c r="F95" s="11"/>
      <c r="G95" s="1"/>
      <c r="H95" s="12"/>
      <c r="I95" s="13">
        <f>SUM(BK3,BK4,BK6,BK7)</f>
        <v>2</v>
      </c>
      <c r="J95" s="13">
        <f t="shared" ref="J95:K95" si="53">SUM(BL3,BL4,BL6,BL7)</f>
        <v>2</v>
      </c>
      <c r="K95" s="13">
        <f t="shared" si="53"/>
        <v>2</v>
      </c>
      <c r="AD95" s="1"/>
      <c r="AE95" s="1"/>
      <c r="AF95" s="1"/>
      <c r="AG95" s="1"/>
      <c r="AH95" s="1"/>
      <c r="AI95" s="1"/>
      <c r="AJ95" s="1"/>
      <c r="AL95" s="1"/>
      <c r="AM95" s="1"/>
      <c r="AN95" s="1"/>
      <c r="AO95" s="1"/>
      <c r="AP95" s="1"/>
      <c r="AQ95" s="1"/>
      <c r="AR95" s="1"/>
      <c r="AT95" s="1"/>
      <c r="AU95" s="1"/>
      <c r="AV95" s="1"/>
      <c r="AW95" s="1"/>
      <c r="AX95" s="1"/>
      <c r="AY95" s="1"/>
      <c r="BA95" s="1"/>
      <c r="BB95" s="1"/>
      <c r="BC95" s="1"/>
      <c r="BD95" s="1"/>
      <c r="BE95" s="1"/>
      <c r="BG95" s="1"/>
      <c r="BH95" s="1"/>
      <c r="BI95" s="1"/>
      <c r="BK95" s="1"/>
      <c r="BL95" s="1"/>
      <c r="BM95" s="1"/>
      <c r="BO95" s="1"/>
      <c r="BP95" s="1"/>
      <c r="BR95" s="1"/>
    </row>
    <row r="96" spans="2:70" x14ac:dyDescent="0.3">
      <c r="B96" s="6" t="s">
        <v>11</v>
      </c>
      <c r="C96" s="1"/>
      <c r="D96" s="1"/>
      <c r="E96" s="1"/>
      <c r="F96" s="1"/>
      <c r="G96" s="16"/>
      <c r="H96" s="1"/>
      <c r="I96" s="1"/>
      <c r="J96" s="13">
        <f>SUM(BO3,BO4,BO6,BO7)</f>
        <v>2</v>
      </c>
      <c r="K96" s="13">
        <f>SUM(BP3,BP4,BP6,BP7)</f>
        <v>2</v>
      </c>
      <c r="AD96" s="1"/>
      <c r="AE96" s="1"/>
      <c r="AF96" s="1"/>
      <c r="AG96" s="1"/>
      <c r="AH96" s="1"/>
      <c r="AI96" s="1"/>
      <c r="AJ96" s="1"/>
      <c r="AL96" s="1"/>
      <c r="AM96" s="1"/>
      <c r="AN96" s="1"/>
      <c r="AO96" s="1"/>
      <c r="AP96" s="1"/>
      <c r="AQ96" s="1"/>
      <c r="AR96" s="1"/>
      <c r="AT96" s="1"/>
      <c r="AU96" s="1"/>
      <c r="AV96" s="1"/>
      <c r="AW96" s="1"/>
      <c r="AX96" s="1"/>
      <c r="AY96" s="1"/>
      <c r="BA96" s="1"/>
      <c r="BB96" s="1"/>
      <c r="BC96" s="1"/>
      <c r="BD96" s="1"/>
      <c r="BE96" s="1"/>
      <c r="BG96" s="1"/>
      <c r="BH96" s="1"/>
      <c r="BI96" s="1"/>
      <c r="BK96" s="1"/>
      <c r="BL96" s="1"/>
      <c r="BM96" s="1"/>
      <c r="BO96" s="1"/>
      <c r="BP96" s="1"/>
      <c r="BR96" s="1"/>
    </row>
    <row r="97" spans="2:70" x14ac:dyDescent="0.3">
      <c r="B97" s="6" t="s">
        <v>13</v>
      </c>
      <c r="C97" s="1"/>
      <c r="D97" s="1"/>
      <c r="E97" s="1"/>
      <c r="F97" s="1"/>
      <c r="G97" s="1"/>
      <c r="H97" s="1"/>
      <c r="I97" s="1"/>
      <c r="J97" s="1"/>
      <c r="K97" s="13">
        <f>SUM(BR3,BR4,BR6,BR7)</f>
        <v>2</v>
      </c>
      <c r="AD97" s="1"/>
      <c r="AE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R97" s="1"/>
      <c r="AT97" s="1"/>
      <c r="AU97" s="1"/>
      <c r="AV97" s="1"/>
      <c r="AW97" s="1"/>
      <c r="AX97" s="1"/>
      <c r="AY97" s="1"/>
      <c r="BA97" s="1"/>
      <c r="BB97" s="1"/>
      <c r="BC97" s="1"/>
      <c r="BD97" s="1"/>
      <c r="BE97" s="1"/>
      <c r="BG97" s="1"/>
      <c r="BH97" s="1"/>
      <c r="BI97" s="1"/>
      <c r="BK97" s="1"/>
      <c r="BL97" s="1"/>
      <c r="BM97" s="1"/>
      <c r="BO97" s="1"/>
      <c r="BP97" s="1"/>
      <c r="BR97" s="1"/>
    </row>
    <row r="98" spans="2:70" x14ac:dyDescent="0.3">
      <c r="B98" s="6" t="s">
        <v>15</v>
      </c>
      <c r="C98" s="1"/>
      <c r="D98" s="1"/>
      <c r="E98" s="1"/>
      <c r="F98" s="1"/>
      <c r="G98" s="1"/>
      <c r="H98" s="1"/>
      <c r="I98" s="1"/>
      <c r="J98" s="1"/>
      <c r="K98" s="1"/>
      <c r="AD98" s="1"/>
      <c r="AE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R98" s="1"/>
      <c r="AT98" s="1"/>
      <c r="AU98" s="1"/>
      <c r="AV98" s="1"/>
      <c r="AW98" s="1"/>
      <c r="AX98" s="1"/>
      <c r="AY98" s="1"/>
      <c r="BA98" s="1"/>
      <c r="BB98" s="1"/>
      <c r="BC98" s="1"/>
      <c r="BD98" s="1"/>
      <c r="BE98" s="1"/>
      <c r="BG98" s="1"/>
      <c r="BH98" s="1"/>
      <c r="BI98" s="1"/>
      <c r="BK98" s="1"/>
      <c r="BL98" s="1"/>
      <c r="BM98" s="1"/>
      <c r="BO98" s="1"/>
      <c r="BP98" s="1"/>
      <c r="BR98" s="1"/>
    </row>
    <row r="99" spans="2:70" x14ac:dyDescent="0.3">
      <c r="AD99" s="1"/>
      <c r="AE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R99" s="1"/>
      <c r="AT99" s="1"/>
      <c r="AU99" s="1"/>
      <c r="AV99" s="1"/>
      <c r="AW99" s="1"/>
      <c r="AX99" s="1"/>
      <c r="AY99" s="1"/>
      <c r="BA99" s="1"/>
      <c r="BB99" s="1"/>
      <c r="BC99" s="1"/>
      <c r="BD99" s="1"/>
      <c r="BE99" s="1"/>
      <c r="BG99" s="1"/>
      <c r="BH99" s="1"/>
      <c r="BI99" s="1"/>
      <c r="BK99" s="1"/>
      <c r="BL99" s="1"/>
      <c r="BM99" s="1"/>
      <c r="BO99" s="1"/>
      <c r="BP99" s="1"/>
      <c r="BR99" s="1"/>
    </row>
    <row r="100" spans="2:70" x14ac:dyDescent="0.3">
      <c r="AD100" s="1"/>
      <c r="AE100" s="1"/>
      <c r="AF100" s="1"/>
      <c r="AG100" s="1"/>
      <c r="AH100" s="1"/>
      <c r="AI100" s="1"/>
      <c r="AJ100" s="1"/>
      <c r="AL100" s="1"/>
      <c r="AM100" s="1"/>
      <c r="AN100" s="1"/>
      <c r="AO100" s="1"/>
      <c r="AP100" s="1"/>
      <c r="AQ100" s="1"/>
      <c r="AR100" s="1"/>
      <c r="AT100" s="1"/>
      <c r="AU100" s="1"/>
      <c r="AV100" s="1"/>
      <c r="AW100" s="1"/>
      <c r="AX100" s="1"/>
      <c r="AY100" s="1"/>
      <c r="BA100" s="1"/>
      <c r="BB100" s="1"/>
      <c r="BC100" s="1"/>
      <c r="BD100" s="1"/>
      <c r="BE100" s="1"/>
      <c r="BG100" s="1"/>
      <c r="BH100" s="1"/>
      <c r="BI100" s="1"/>
      <c r="BK100" s="1"/>
      <c r="BL100" s="1"/>
      <c r="BM100" s="1"/>
      <c r="BO100" s="1"/>
      <c r="BP100" s="1"/>
      <c r="BR100" s="1"/>
    </row>
    <row r="101" spans="2:70" x14ac:dyDescent="0.3">
      <c r="B101" s="1" t="s">
        <v>62</v>
      </c>
      <c r="C101" s="6" t="s">
        <v>1</v>
      </c>
      <c r="D101" s="6" t="s">
        <v>2</v>
      </c>
      <c r="E101" s="6" t="s">
        <v>4</v>
      </c>
      <c r="F101" s="6" t="s">
        <v>6</v>
      </c>
      <c r="G101" s="6" t="s">
        <v>8</v>
      </c>
      <c r="H101" s="6" t="s">
        <v>9</v>
      </c>
      <c r="I101" s="6" t="s">
        <v>11</v>
      </c>
      <c r="J101" s="6" t="s">
        <v>13</v>
      </c>
      <c r="K101" s="6" t="s">
        <v>15</v>
      </c>
      <c r="AD101" s="1"/>
      <c r="AE101" s="1"/>
      <c r="AF101" s="1"/>
      <c r="AG101" s="1"/>
      <c r="AH101" s="1"/>
      <c r="AI101" s="1"/>
      <c r="AJ101" s="1"/>
      <c r="AL101" s="1"/>
      <c r="AM101" s="1"/>
      <c r="AN101" s="1"/>
      <c r="AO101" s="1"/>
      <c r="AP101" s="1"/>
      <c r="AQ101" s="1"/>
      <c r="AR101" s="1"/>
      <c r="AT101" s="1"/>
      <c r="AU101" s="1"/>
      <c r="AV101" s="1"/>
      <c r="AW101" s="1"/>
      <c r="AX101" s="1"/>
      <c r="AY101" s="1"/>
      <c r="BA101" s="1"/>
      <c r="BB101" s="1"/>
      <c r="BC101" s="1"/>
      <c r="BD101" s="1"/>
      <c r="BE101" s="1"/>
      <c r="BG101" s="1"/>
      <c r="BH101" s="1"/>
      <c r="BI101" s="1"/>
      <c r="BK101" s="1"/>
      <c r="BL101" s="1"/>
      <c r="BM101" s="1"/>
      <c r="BO101" s="1"/>
      <c r="BP101" s="1"/>
      <c r="BR101" s="1"/>
    </row>
    <row r="102" spans="2:70" x14ac:dyDescent="0.3">
      <c r="B102" s="6" t="s">
        <v>1</v>
      </c>
      <c r="C102" s="1"/>
      <c r="D102" s="1"/>
      <c r="E102" s="18">
        <f>SUM(AD5,AD8)</f>
        <v>1</v>
      </c>
      <c r="F102" s="18">
        <f t="shared" ref="F102:K102" si="54">SUM(AE5,AE8)</f>
        <v>1</v>
      </c>
      <c r="G102" s="18">
        <f t="shared" si="54"/>
        <v>1</v>
      </c>
      <c r="H102" s="18">
        <f t="shared" si="54"/>
        <v>1</v>
      </c>
      <c r="I102" s="18">
        <f t="shared" si="54"/>
        <v>1</v>
      </c>
      <c r="J102" s="18">
        <f t="shared" si="54"/>
        <v>1</v>
      </c>
      <c r="K102" s="18">
        <f t="shared" si="54"/>
        <v>1</v>
      </c>
      <c r="AD102" s="1"/>
      <c r="AE102" s="1"/>
      <c r="AF102" s="1"/>
      <c r="AG102" s="1"/>
      <c r="AH102" s="1"/>
      <c r="AI102" s="1"/>
      <c r="AJ102" s="1"/>
      <c r="AL102" s="1"/>
      <c r="AM102" s="1"/>
      <c r="AN102" s="1"/>
      <c r="AO102" s="1"/>
      <c r="AP102" s="1"/>
      <c r="AQ102" s="1"/>
      <c r="AR102" s="1"/>
      <c r="AT102" s="1"/>
      <c r="AU102" s="1"/>
      <c r="AV102" s="1"/>
      <c r="AW102" s="1"/>
      <c r="AX102" s="1"/>
      <c r="AY102" s="1"/>
      <c r="BA102" s="1"/>
      <c r="BB102" s="1"/>
      <c r="BC102" s="1"/>
      <c r="BD102" s="1"/>
      <c r="BE102" s="1"/>
      <c r="BG102" s="1"/>
      <c r="BH102" s="1"/>
      <c r="BI102" s="1"/>
      <c r="BK102" s="1"/>
      <c r="BL102" s="1"/>
      <c r="BM102" s="1"/>
      <c r="BO102" s="1"/>
      <c r="BP102" s="1"/>
      <c r="BR102" s="1"/>
    </row>
    <row r="103" spans="2:70" x14ac:dyDescent="0.3">
      <c r="B103" s="6" t="s">
        <v>2</v>
      </c>
      <c r="C103" s="1"/>
      <c r="D103" s="1"/>
      <c r="E103" s="18">
        <f>SUM(AL5,AL8)</f>
        <v>1</v>
      </c>
      <c r="F103" s="18">
        <f t="shared" ref="F103:K103" si="55">SUM(AM5,AM8)</f>
        <v>1</v>
      </c>
      <c r="G103" s="18">
        <f t="shared" si="55"/>
        <v>1</v>
      </c>
      <c r="H103" s="18">
        <f t="shared" si="55"/>
        <v>1</v>
      </c>
      <c r="I103" s="18">
        <f t="shared" si="55"/>
        <v>1</v>
      </c>
      <c r="J103" s="18">
        <f t="shared" si="55"/>
        <v>1</v>
      </c>
      <c r="K103" s="18">
        <f t="shared" si="55"/>
        <v>1</v>
      </c>
      <c r="AD103" s="1"/>
      <c r="AE103" s="1"/>
      <c r="AF103" s="1"/>
      <c r="AG103" s="1"/>
      <c r="AH103" s="1"/>
      <c r="AI103" s="1"/>
      <c r="AJ103" s="1"/>
      <c r="AL103" s="1"/>
      <c r="AM103" s="1"/>
      <c r="AN103" s="1"/>
      <c r="AO103" s="1"/>
      <c r="AP103" s="1"/>
      <c r="AQ103" s="1"/>
      <c r="AR103" s="1"/>
      <c r="AT103" s="1"/>
      <c r="AU103" s="1"/>
      <c r="AV103" s="1"/>
      <c r="AW103" s="1"/>
      <c r="AX103" s="1"/>
      <c r="AY103" s="1"/>
      <c r="BA103" s="1"/>
      <c r="BB103" s="1"/>
      <c r="BC103" s="1"/>
      <c r="BD103" s="1"/>
      <c r="BE103" s="1"/>
      <c r="BG103" s="1"/>
      <c r="BH103" s="1"/>
      <c r="BI103" s="1"/>
      <c r="BK103" s="1"/>
      <c r="BL103" s="1"/>
      <c r="BM103" s="1"/>
      <c r="BO103" s="1"/>
      <c r="BP103" s="1"/>
      <c r="BR103" s="1"/>
    </row>
    <row r="104" spans="2:70" x14ac:dyDescent="0.3">
      <c r="B104" s="6" t="s">
        <v>4</v>
      </c>
      <c r="C104" s="1"/>
      <c r="D104" s="1"/>
      <c r="E104" s="1"/>
      <c r="F104" s="13">
        <f>SUM(AT5,AT8)</f>
        <v>1</v>
      </c>
      <c r="G104" s="13">
        <f t="shared" ref="G104:K104" si="56">SUM(AU5,AU8)</f>
        <v>1</v>
      </c>
      <c r="H104" s="13">
        <f t="shared" si="56"/>
        <v>1</v>
      </c>
      <c r="I104" s="13">
        <f t="shared" si="56"/>
        <v>1</v>
      </c>
      <c r="J104" s="13">
        <f t="shared" si="56"/>
        <v>1</v>
      </c>
      <c r="K104" s="13">
        <f t="shared" si="56"/>
        <v>1</v>
      </c>
      <c r="Q104" s="5"/>
      <c r="AD104" s="1"/>
      <c r="AE104" s="1"/>
      <c r="AF104" s="1"/>
      <c r="AG104" s="1"/>
      <c r="AH104" s="1"/>
      <c r="AI104" s="1"/>
      <c r="AJ104" s="1"/>
      <c r="AL104" s="1"/>
      <c r="AM104" s="1"/>
      <c r="AN104" s="1"/>
      <c r="AO104" s="1"/>
      <c r="AP104" s="1"/>
      <c r="AQ104" s="1"/>
      <c r="AR104" s="1"/>
      <c r="AT104" s="1"/>
      <c r="AU104" s="1"/>
      <c r="AV104" s="1"/>
      <c r="AW104" s="1"/>
      <c r="AX104" s="1"/>
      <c r="AY104" s="1"/>
      <c r="BA104" s="1"/>
      <c r="BB104" s="1"/>
      <c r="BC104" s="1"/>
      <c r="BD104" s="1"/>
      <c r="BE104" s="1"/>
      <c r="BG104" s="1"/>
      <c r="BH104" s="1"/>
      <c r="BI104" s="1"/>
      <c r="BK104" s="1"/>
      <c r="BL104" s="1"/>
      <c r="BM104" s="1"/>
      <c r="BO104" s="1"/>
      <c r="BP104" s="1"/>
      <c r="BR104" s="1"/>
    </row>
    <row r="105" spans="2:70" x14ac:dyDescent="0.3">
      <c r="B105" s="6" t="s">
        <v>6</v>
      </c>
      <c r="C105" s="1"/>
      <c r="D105" s="1"/>
      <c r="E105" s="1"/>
      <c r="F105" s="1"/>
      <c r="G105" s="13">
        <f>SUM(BA5,BA8)</f>
        <v>1</v>
      </c>
      <c r="H105" s="13">
        <f t="shared" ref="H105:K105" si="57">SUM(BB5,BB8)</f>
        <v>1</v>
      </c>
      <c r="I105" s="13">
        <f t="shared" si="57"/>
        <v>1</v>
      </c>
      <c r="J105" s="13">
        <f t="shared" si="57"/>
        <v>1</v>
      </c>
      <c r="K105" s="13">
        <f t="shared" si="57"/>
        <v>1</v>
      </c>
      <c r="AD105" s="1"/>
      <c r="AE105" s="1"/>
      <c r="AF105" s="1"/>
      <c r="AG105" s="1"/>
      <c r="AH105" s="1"/>
      <c r="AI105" s="1"/>
      <c r="AJ105" s="1"/>
      <c r="AL105" s="1"/>
      <c r="AM105" s="1"/>
      <c r="AN105" s="1"/>
      <c r="AO105" s="1"/>
      <c r="AP105" s="1"/>
      <c r="AQ105" s="1"/>
      <c r="AR105" s="1"/>
      <c r="AT105" s="1"/>
      <c r="AU105" s="1"/>
      <c r="AV105" s="1"/>
      <c r="AW105" s="1"/>
      <c r="AX105" s="1"/>
      <c r="AY105" s="1"/>
      <c r="BA105" s="1"/>
      <c r="BB105" s="1"/>
      <c r="BC105" s="1"/>
      <c r="BD105" s="1"/>
      <c r="BE105" s="1"/>
      <c r="BG105" s="1"/>
      <c r="BH105" s="1"/>
      <c r="BI105" s="1"/>
      <c r="BK105" s="1"/>
      <c r="BL105" s="1"/>
      <c r="BM105" s="1"/>
      <c r="BO105" s="1"/>
      <c r="BP105" s="1"/>
      <c r="BR105" s="1"/>
    </row>
    <row r="106" spans="2:70" x14ac:dyDescent="0.3">
      <c r="B106" s="6" t="s">
        <v>8</v>
      </c>
      <c r="C106" s="1"/>
      <c r="D106" s="1"/>
      <c r="E106" s="1"/>
      <c r="F106" s="1"/>
      <c r="G106" s="8"/>
      <c r="H106" s="1"/>
      <c r="I106" s="13">
        <f>SUM(BG5,BG8)</f>
        <v>1</v>
      </c>
      <c r="J106" s="13">
        <f t="shared" ref="J106:K106" si="58">SUM(BH5,BH8)</f>
        <v>1</v>
      </c>
      <c r="K106" s="13">
        <f t="shared" si="58"/>
        <v>1</v>
      </c>
      <c r="AD106" s="1"/>
      <c r="AE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BA106" s="1"/>
      <c r="BB106" s="1"/>
      <c r="BC106" s="1"/>
      <c r="BD106" s="1"/>
      <c r="BE106" s="1"/>
      <c r="BG106" s="1"/>
      <c r="BH106" s="1"/>
      <c r="BI106" s="1"/>
      <c r="BK106" s="1"/>
      <c r="BL106" s="1"/>
      <c r="BM106" s="1"/>
      <c r="BO106" s="1"/>
      <c r="BP106" s="1"/>
      <c r="BR106" s="1"/>
    </row>
    <row r="107" spans="2:70" x14ac:dyDescent="0.3">
      <c r="B107" s="6" t="s">
        <v>9</v>
      </c>
      <c r="C107" s="1"/>
      <c r="D107" s="1"/>
      <c r="E107" s="1"/>
      <c r="F107" s="11"/>
      <c r="G107" s="1"/>
      <c r="H107" s="12"/>
      <c r="I107" s="13">
        <f>SUM(BK5,BK8)</f>
        <v>1</v>
      </c>
      <c r="J107" s="13">
        <f t="shared" ref="J107:K107" si="59">SUM(BL5,BL8)</f>
        <v>1</v>
      </c>
      <c r="K107" s="13">
        <f t="shared" si="59"/>
        <v>1</v>
      </c>
      <c r="AD107" s="1"/>
      <c r="AE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R107" s="1"/>
      <c r="AT107" s="1"/>
      <c r="AU107" s="1"/>
      <c r="AV107" s="1"/>
      <c r="AW107" s="1"/>
      <c r="AX107" s="1"/>
      <c r="AY107" s="1"/>
      <c r="BA107" s="1"/>
      <c r="BB107" s="1"/>
      <c r="BC107" s="1"/>
      <c r="BD107" s="1"/>
      <c r="BE107" s="1"/>
      <c r="BG107" s="1"/>
      <c r="BH107" s="1"/>
      <c r="BI107" s="1"/>
      <c r="BK107" s="1"/>
      <c r="BL107" s="1"/>
      <c r="BM107" s="1"/>
      <c r="BO107" s="1"/>
      <c r="BP107" s="1"/>
      <c r="BR107" s="1"/>
    </row>
    <row r="108" spans="2:70" x14ac:dyDescent="0.3">
      <c r="B108" s="6" t="s">
        <v>11</v>
      </c>
      <c r="C108" s="1"/>
      <c r="D108" s="1"/>
      <c r="E108" s="1"/>
      <c r="F108" s="1"/>
      <c r="G108" s="16"/>
      <c r="H108" s="1"/>
      <c r="I108" s="1"/>
      <c r="J108" s="13">
        <f>SUM(BO5,BO8)</f>
        <v>1</v>
      </c>
      <c r="K108" s="13">
        <f>SUM(BP5,BP8)</f>
        <v>1</v>
      </c>
      <c r="AD108" s="1"/>
      <c r="AE108" s="1"/>
      <c r="AF108" s="1"/>
      <c r="AG108" s="1"/>
      <c r="AH108" s="1"/>
      <c r="AI108" s="1"/>
      <c r="AJ108" s="1"/>
      <c r="AL108" s="1"/>
      <c r="AM108" s="1"/>
      <c r="AN108" s="1"/>
      <c r="AO108" s="1"/>
      <c r="AP108" s="1"/>
      <c r="AQ108" s="1"/>
      <c r="AR108" s="1"/>
      <c r="AT108" s="1"/>
      <c r="AU108" s="1"/>
      <c r="AV108" s="1"/>
      <c r="AW108" s="1"/>
      <c r="AX108" s="1"/>
      <c r="AY108" s="1"/>
      <c r="BA108" s="1"/>
      <c r="BB108" s="1"/>
      <c r="BC108" s="1"/>
      <c r="BD108" s="1"/>
      <c r="BE108" s="1"/>
      <c r="BG108" s="1"/>
      <c r="BH108" s="1"/>
      <c r="BI108" s="1"/>
      <c r="BK108" s="1"/>
      <c r="BL108" s="1"/>
      <c r="BM108" s="1"/>
      <c r="BO108" s="1"/>
      <c r="BP108" s="1"/>
      <c r="BR108" s="1"/>
    </row>
    <row r="109" spans="2:70" x14ac:dyDescent="0.3">
      <c r="B109" s="6" t="s">
        <v>13</v>
      </c>
      <c r="C109" s="1"/>
      <c r="D109" s="1"/>
      <c r="E109" s="1"/>
      <c r="F109" s="1"/>
      <c r="G109" s="1"/>
      <c r="H109" s="1"/>
      <c r="I109" s="1"/>
      <c r="J109" s="1"/>
      <c r="K109" s="13">
        <f>SUM(BR5,BR8)</f>
        <v>1</v>
      </c>
      <c r="AD109" s="1"/>
      <c r="AE109" s="1"/>
      <c r="AF109" s="1"/>
      <c r="AG109" s="1"/>
      <c r="AH109" s="1"/>
      <c r="AI109" s="1"/>
      <c r="AJ109" s="1"/>
      <c r="AL109" s="1"/>
      <c r="AM109" s="1"/>
      <c r="AN109" s="1"/>
      <c r="AO109" s="1"/>
      <c r="AP109" s="1"/>
      <c r="AQ109" s="1"/>
      <c r="AR109" s="1"/>
      <c r="AT109" s="1"/>
      <c r="AU109" s="1"/>
      <c r="AV109" s="1"/>
      <c r="AW109" s="1"/>
      <c r="AX109" s="1"/>
      <c r="AY109" s="1"/>
      <c r="BA109" s="1"/>
      <c r="BB109" s="1"/>
      <c r="BC109" s="1"/>
      <c r="BD109" s="1"/>
      <c r="BE109" s="1"/>
      <c r="BG109" s="1"/>
      <c r="BH109" s="1"/>
      <c r="BI109" s="1"/>
      <c r="BK109" s="1"/>
      <c r="BL109" s="1"/>
      <c r="BM109" s="1"/>
      <c r="BO109" s="1"/>
      <c r="BP109" s="1"/>
      <c r="BR109" s="1"/>
    </row>
    <row r="110" spans="2:70" x14ac:dyDescent="0.3">
      <c r="B110" s="6" t="s">
        <v>15</v>
      </c>
      <c r="C110" s="1"/>
      <c r="D110" s="1"/>
      <c r="E110" s="1"/>
      <c r="F110" s="1"/>
      <c r="G110" s="1"/>
      <c r="H110" s="1"/>
      <c r="I110" s="1"/>
      <c r="J110" s="1"/>
      <c r="K110" s="1"/>
      <c r="AD110" s="1"/>
      <c r="AE110" s="1"/>
      <c r="AF110" s="1"/>
      <c r="AG110" s="1"/>
      <c r="AH110" s="1"/>
      <c r="AI110" s="1"/>
      <c r="AJ110" s="1"/>
      <c r="AL110" s="1"/>
      <c r="AM110" s="1"/>
      <c r="AN110" s="1"/>
      <c r="AO110" s="1"/>
      <c r="AP110" s="1"/>
      <c r="AQ110" s="1"/>
      <c r="AR110" s="1"/>
      <c r="AT110" s="1"/>
      <c r="AU110" s="1"/>
      <c r="AV110" s="1"/>
      <c r="AW110" s="1"/>
      <c r="AX110" s="1"/>
      <c r="AY110" s="1"/>
      <c r="BA110" s="1"/>
      <c r="BB110" s="1"/>
      <c r="BC110" s="1"/>
      <c r="BD110" s="1"/>
      <c r="BE110" s="1"/>
      <c r="BG110" s="1"/>
      <c r="BH110" s="1"/>
      <c r="BI110" s="1"/>
      <c r="BK110" s="1"/>
      <c r="BL110" s="1"/>
      <c r="BM110" s="1"/>
      <c r="BO110" s="1"/>
      <c r="BP110" s="1"/>
      <c r="BR110" s="1"/>
    </row>
    <row r="111" spans="2:70" x14ac:dyDescent="0.3">
      <c r="AD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R111" s="1"/>
      <c r="AT111" s="1"/>
      <c r="AU111" s="1"/>
      <c r="AV111" s="1"/>
      <c r="AW111" s="1"/>
      <c r="AX111" s="1"/>
      <c r="AY111" s="1"/>
      <c r="BA111" s="1"/>
      <c r="BB111" s="1"/>
      <c r="BC111" s="1"/>
      <c r="BD111" s="1"/>
      <c r="BE111" s="1"/>
      <c r="BG111" s="1"/>
      <c r="BH111" s="1"/>
      <c r="BI111" s="1"/>
      <c r="BK111" s="1"/>
      <c r="BL111" s="1"/>
      <c r="BM111" s="1"/>
      <c r="BO111" s="1"/>
      <c r="BP111" s="1"/>
      <c r="BR111" s="1"/>
    </row>
    <row r="112" spans="2:70" x14ac:dyDescent="0.3">
      <c r="AD112" s="1"/>
      <c r="AE112" s="1"/>
      <c r="AF112" s="1"/>
      <c r="AG112" s="1"/>
      <c r="AH112" s="1"/>
      <c r="AI112" s="1"/>
      <c r="AJ112" s="1"/>
      <c r="AL112" s="1"/>
      <c r="AM112" s="1"/>
      <c r="AN112" s="1"/>
      <c r="AO112" s="1"/>
      <c r="AP112" s="1"/>
      <c r="AQ112" s="1"/>
      <c r="AR112" s="1"/>
      <c r="AT112" s="1"/>
      <c r="AU112" s="1"/>
      <c r="AV112" s="1"/>
      <c r="AW112" s="1"/>
      <c r="AX112" s="1"/>
      <c r="AY112" s="1"/>
      <c r="BA112" s="1"/>
      <c r="BB112" s="1"/>
      <c r="BC112" s="1"/>
      <c r="BD112" s="1"/>
      <c r="BE112" s="1"/>
      <c r="BG112" s="1"/>
      <c r="BH112" s="1"/>
      <c r="BI112" s="1"/>
      <c r="BK112" s="1"/>
      <c r="BL112" s="1"/>
      <c r="BM112" s="1"/>
      <c r="BO112" s="1"/>
      <c r="BP112" s="1"/>
      <c r="BR112" s="1"/>
    </row>
    <row r="113" spans="30:70" x14ac:dyDescent="0.3">
      <c r="AD113" s="1"/>
      <c r="AE113" s="1"/>
      <c r="AF113" s="1"/>
      <c r="AG113" s="1"/>
      <c r="AH113" s="1"/>
      <c r="AI113" s="1"/>
      <c r="AJ113" s="1"/>
      <c r="AL113" s="1"/>
      <c r="AM113" s="1"/>
      <c r="AN113" s="1"/>
      <c r="AO113" s="1"/>
      <c r="AP113" s="1"/>
      <c r="AQ113" s="1"/>
      <c r="AR113" s="1"/>
      <c r="AT113" s="1"/>
      <c r="AU113" s="1"/>
      <c r="AV113" s="1"/>
      <c r="AW113" s="1"/>
      <c r="AX113" s="1"/>
      <c r="AY113" s="1"/>
      <c r="BA113" s="1"/>
      <c r="BB113" s="1"/>
      <c r="BC113" s="1"/>
      <c r="BD113" s="1"/>
      <c r="BE113" s="1"/>
      <c r="BG113" s="1"/>
      <c r="BH113" s="1"/>
      <c r="BI113" s="1"/>
      <c r="BK113" s="1"/>
      <c r="BL113" s="1"/>
      <c r="BM113" s="1"/>
      <c r="BO113" s="1"/>
      <c r="BP113" s="1"/>
      <c r="BR113" s="1"/>
    </row>
    <row r="114" spans="30:70" x14ac:dyDescent="0.3">
      <c r="AD114" s="1"/>
      <c r="AE114" s="1"/>
      <c r="AF114" s="1"/>
      <c r="AG114" s="1"/>
      <c r="AH114" s="1"/>
      <c r="AI114" s="1"/>
      <c r="AJ114" s="1"/>
      <c r="AL114" s="1"/>
      <c r="AM114" s="1"/>
      <c r="AN114" s="1"/>
      <c r="AO114" s="1"/>
      <c r="AP114" s="1"/>
      <c r="AQ114" s="1"/>
      <c r="AR114" s="1"/>
      <c r="AT114" s="1"/>
      <c r="AU114" s="1"/>
      <c r="AV114" s="1"/>
      <c r="AW114" s="1"/>
      <c r="AX114" s="1"/>
      <c r="AY114" s="1"/>
      <c r="BA114" s="1"/>
      <c r="BB114" s="1"/>
      <c r="BC114" s="1"/>
      <c r="BD114" s="1"/>
      <c r="BE114" s="1"/>
      <c r="BG114" s="1"/>
      <c r="BH114" s="1"/>
      <c r="BI114" s="1"/>
      <c r="BK114" s="1"/>
      <c r="BL114" s="1"/>
      <c r="BM114" s="1"/>
      <c r="BO114" s="1"/>
      <c r="BP114" s="1"/>
      <c r="BR114" s="1"/>
    </row>
    <row r="115" spans="30:70" x14ac:dyDescent="0.3">
      <c r="AD115" s="1"/>
      <c r="AE115" s="1"/>
      <c r="AF115" s="1"/>
      <c r="AG115" s="1"/>
      <c r="AH115" s="1"/>
      <c r="AI115" s="1"/>
      <c r="AJ115" s="1"/>
      <c r="AL115" s="1"/>
      <c r="AM115" s="1"/>
      <c r="AN115" s="1"/>
      <c r="AO115" s="1"/>
      <c r="AP115" s="1"/>
      <c r="AQ115" s="1"/>
      <c r="AR115" s="1"/>
      <c r="AT115" s="1"/>
      <c r="AU115" s="1"/>
      <c r="AV115" s="1"/>
      <c r="AW115" s="1"/>
      <c r="AX115" s="1"/>
      <c r="AY115" s="1"/>
      <c r="BA115" s="1"/>
      <c r="BB115" s="1"/>
      <c r="BC115" s="1"/>
      <c r="BD115" s="1"/>
      <c r="BE115" s="1"/>
      <c r="BG115" s="1"/>
      <c r="BH115" s="1"/>
      <c r="BI115" s="1"/>
      <c r="BK115" s="1"/>
      <c r="BL115" s="1"/>
      <c r="BM115" s="1"/>
      <c r="BO115" s="1"/>
      <c r="BP115" s="1"/>
      <c r="BR115" s="1"/>
    </row>
    <row r="116" spans="30:70" x14ac:dyDescent="0.3">
      <c r="AD116" s="1"/>
      <c r="AE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R116" s="1"/>
      <c r="AT116" s="1"/>
      <c r="AU116" s="1"/>
      <c r="AV116" s="1"/>
      <c r="AW116" s="1"/>
      <c r="AX116" s="1"/>
      <c r="AY116" s="1"/>
      <c r="BA116" s="1"/>
      <c r="BB116" s="1"/>
      <c r="BC116" s="1"/>
      <c r="BD116" s="1"/>
      <c r="BE116" s="1"/>
      <c r="BG116" s="1"/>
      <c r="BH116" s="1"/>
      <c r="BI116" s="1"/>
      <c r="BK116" s="1"/>
      <c r="BL116" s="1"/>
      <c r="BM116" s="1"/>
      <c r="BO116" s="1"/>
      <c r="BP116" s="1"/>
      <c r="BR116" s="1"/>
    </row>
    <row r="117" spans="30:70" x14ac:dyDescent="0.3">
      <c r="AD117" s="1"/>
      <c r="AE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R117" s="1"/>
      <c r="AT117" s="1"/>
      <c r="AU117" s="1"/>
      <c r="AV117" s="1"/>
      <c r="AW117" s="1"/>
      <c r="AX117" s="1"/>
      <c r="AY117" s="1"/>
      <c r="BA117" s="1"/>
      <c r="BB117" s="1"/>
      <c r="BC117" s="1"/>
      <c r="BD117" s="1"/>
      <c r="BE117" s="1"/>
      <c r="BG117" s="1"/>
      <c r="BH117" s="1"/>
      <c r="BI117" s="1"/>
      <c r="BK117" s="1"/>
      <c r="BL117" s="1"/>
      <c r="BM117" s="1"/>
      <c r="BO117" s="1"/>
      <c r="BP117" s="1"/>
      <c r="BR117" s="1"/>
    </row>
    <row r="118" spans="30:70" x14ac:dyDescent="0.3">
      <c r="AD118" s="1"/>
      <c r="AE118" s="1"/>
      <c r="AF118" s="1"/>
      <c r="AG118" s="1"/>
      <c r="AH118" s="1"/>
      <c r="AI118" s="1"/>
      <c r="AJ118" s="1"/>
      <c r="AL118" s="1"/>
      <c r="AM118" s="1"/>
      <c r="AN118" s="1"/>
      <c r="AO118" s="1"/>
      <c r="AP118" s="1"/>
      <c r="AQ118" s="1"/>
      <c r="AR118" s="1"/>
      <c r="AT118" s="1"/>
      <c r="AU118" s="1"/>
      <c r="AV118" s="1"/>
      <c r="AW118" s="1"/>
      <c r="AX118" s="1"/>
      <c r="AY118" s="1"/>
      <c r="BA118" s="1"/>
      <c r="BB118" s="1"/>
      <c r="BC118" s="1"/>
      <c r="BD118" s="1"/>
      <c r="BE118" s="1"/>
      <c r="BG118" s="1"/>
      <c r="BH118" s="1"/>
      <c r="BI118" s="1"/>
      <c r="BK118" s="1"/>
      <c r="BL118" s="1"/>
      <c r="BM118" s="1"/>
      <c r="BO118" s="1"/>
      <c r="BP118" s="1"/>
      <c r="BR118" s="1"/>
    </row>
    <row r="119" spans="30:70" x14ac:dyDescent="0.3">
      <c r="AD119" s="1"/>
      <c r="AE119" s="1"/>
      <c r="AF119" s="1"/>
      <c r="AG119" s="1"/>
      <c r="AH119" s="1"/>
      <c r="AI119" s="1"/>
      <c r="AJ119" s="1"/>
      <c r="AL119" s="1"/>
      <c r="AM119" s="1"/>
      <c r="AN119" s="1"/>
      <c r="AO119" s="1"/>
      <c r="AP119" s="1"/>
      <c r="AQ119" s="1"/>
      <c r="AR119" s="1"/>
      <c r="AT119" s="1"/>
      <c r="AU119" s="1"/>
      <c r="AV119" s="1"/>
      <c r="AW119" s="1"/>
      <c r="AX119" s="1"/>
      <c r="AY119" s="1"/>
      <c r="BA119" s="1"/>
      <c r="BB119" s="1"/>
      <c r="BC119" s="1"/>
      <c r="BD119" s="1"/>
      <c r="BE119" s="1"/>
      <c r="BG119" s="1"/>
      <c r="BH119" s="1"/>
      <c r="BI119" s="1"/>
      <c r="BK119" s="1"/>
      <c r="BL119" s="1"/>
      <c r="BM119" s="1"/>
      <c r="BO119" s="1"/>
      <c r="BP119" s="1"/>
      <c r="BR119" s="1"/>
    </row>
    <row r="120" spans="30:70" x14ac:dyDescent="0.3">
      <c r="AD120" s="1"/>
      <c r="AE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R120" s="1"/>
      <c r="AT120" s="1"/>
      <c r="AU120" s="1"/>
      <c r="AV120" s="1"/>
      <c r="AW120" s="1"/>
      <c r="AX120" s="1"/>
      <c r="AY120" s="1"/>
      <c r="BA120" s="1"/>
      <c r="BB120" s="1"/>
      <c r="BC120" s="1"/>
      <c r="BD120" s="1"/>
      <c r="BE120" s="1"/>
      <c r="BG120" s="1"/>
      <c r="BH120" s="1"/>
      <c r="BI120" s="1"/>
      <c r="BK120" s="1"/>
      <c r="BL120" s="1"/>
      <c r="BM120" s="1"/>
      <c r="BO120" s="1"/>
      <c r="BP120" s="1"/>
      <c r="BR120" s="1"/>
    </row>
    <row r="121" spans="30:70" x14ac:dyDescent="0.3">
      <c r="AD121" s="1"/>
      <c r="AE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R121" s="1"/>
      <c r="AT121" s="1"/>
      <c r="AU121" s="1"/>
      <c r="AV121" s="1"/>
      <c r="AW121" s="1"/>
      <c r="AX121" s="1"/>
      <c r="AY121" s="1"/>
      <c r="BA121" s="1"/>
      <c r="BB121" s="1"/>
      <c r="BC121" s="1"/>
      <c r="BD121" s="1"/>
      <c r="BE121" s="1"/>
      <c r="BG121" s="1"/>
      <c r="BH121" s="1"/>
      <c r="BI121" s="1"/>
      <c r="BK121" s="1"/>
      <c r="BL121" s="1"/>
      <c r="BM121" s="1"/>
      <c r="BO121" s="1"/>
      <c r="BP121" s="1"/>
      <c r="BR121" s="1"/>
    </row>
    <row r="122" spans="30:70" x14ac:dyDescent="0.3">
      <c r="AD122" s="1"/>
      <c r="AE122" s="1"/>
      <c r="AF122" s="1"/>
      <c r="AG122" s="1"/>
      <c r="AH122" s="1"/>
      <c r="AI122" s="1"/>
      <c r="AJ122" s="1"/>
      <c r="AL122" s="1"/>
      <c r="AM122" s="1"/>
      <c r="AN122" s="1"/>
      <c r="AO122" s="1"/>
      <c r="AP122" s="1"/>
      <c r="AQ122" s="1"/>
      <c r="AR122" s="1"/>
      <c r="AT122" s="1"/>
      <c r="AU122" s="1"/>
      <c r="AV122" s="1"/>
      <c r="AW122" s="1"/>
      <c r="AX122" s="1"/>
      <c r="AY122" s="1"/>
      <c r="BA122" s="1"/>
      <c r="BB122" s="1"/>
      <c r="BC122" s="1"/>
      <c r="BD122" s="1"/>
      <c r="BE122" s="1"/>
      <c r="BG122" s="1"/>
      <c r="BH122" s="1"/>
      <c r="BI122" s="1"/>
      <c r="BK122" s="1"/>
      <c r="BL122" s="1"/>
      <c r="BM122" s="1"/>
      <c r="BO122" s="1"/>
      <c r="BP122" s="1"/>
      <c r="BR122" s="1"/>
    </row>
    <row r="123" spans="30:70" x14ac:dyDescent="0.3">
      <c r="AD123" s="1"/>
      <c r="AE123" s="1"/>
      <c r="AF123" s="1"/>
      <c r="AG123" s="1"/>
      <c r="AH123" s="1"/>
      <c r="AI123" s="1"/>
      <c r="AJ123" s="1"/>
      <c r="AL123" s="1"/>
      <c r="AM123" s="1"/>
      <c r="AN123" s="1"/>
      <c r="AO123" s="1"/>
      <c r="AP123" s="1"/>
      <c r="AQ123" s="1"/>
      <c r="AR123" s="1"/>
      <c r="AT123" s="1"/>
      <c r="AU123" s="1"/>
      <c r="AV123" s="1"/>
      <c r="AW123" s="1"/>
      <c r="AX123" s="1"/>
      <c r="AY123" s="1"/>
      <c r="BA123" s="1"/>
      <c r="BB123" s="1"/>
      <c r="BC123" s="1"/>
      <c r="BD123" s="1"/>
      <c r="BE123" s="1"/>
      <c r="BG123" s="1"/>
      <c r="BH123" s="1"/>
      <c r="BI123" s="1"/>
      <c r="BK123" s="1"/>
      <c r="BL123" s="1"/>
      <c r="BM123" s="1"/>
      <c r="BO123" s="1"/>
      <c r="BP123" s="1"/>
      <c r="BR123" s="1"/>
    </row>
    <row r="124" spans="30:70" x14ac:dyDescent="0.3">
      <c r="AD124" s="1"/>
      <c r="AE124" s="1"/>
      <c r="AF124" s="1"/>
      <c r="AG124" s="1"/>
      <c r="AH124" s="1"/>
      <c r="AI124" s="1"/>
      <c r="AJ124" s="1"/>
      <c r="AL124" s="1"/>
      <c r="AM124" s="1"/>
      <c r="AN124" s="1"/>
      <c r="AO124" s="1"/>
      <c r="AP124" s="1"/>
      <c r="AQ124" s="1"/>
      <c r="AR124" s="1"/>
      <c r="AT124" s="1"/>
      <c r="AU124" s="1"/>
      <c r="AV124" s="1"/>
      <c r="AW124" s="1"/>
      <c r="AX124" s="1"/>
      <c r="AY124" s="1"/>
      <c r="BA124" s="1"/>
      <c r="BB124" s="1"/>
      <c r="BC124" s="1"/>
      <c r="BD124" s="1"/>
      <c r="BE124" s="1"/>
      <c r="BG124" s="1"/>
      <c r="BH124" s="1"/>
      <c r="BI124" s="1"/>
      <c r="BK124" s="1"/>
      <c r="BL124" s="1"/>
      <c r="BM124" s="1"/>
      <c r="BO124" s="1"/>
      <c r="BP124" s="1"/>
      <c r="BR124" s="1"/>
    </row>
    <row r="125" spans="30:70" x14ac:dyDescent="0.3">
      <c r="AD125" s="1"/>
      <c r="AE125" s="1"/>
      <c r="AF125" s="1"/>
      <c r="AG125" s="1"/>
      <c r="AH125" s="1"/>
      <c r="AI125" s="1"/>
      <c r="AJ125" s="1"/>
      <c r="AL125" s="1"/>
      <c r="AM125" s="1"/>
      <c r="AN125" s="1"/>
      <c r="AO125" s="1"/>
      <c r="AP125" s="1"/>
      <c r="AQ125" s="1"/>
      <c r="AR125" s="1"/>
      <c r="AT125" s="1"/>
      <c r="AU125" s="1"/>
      <c r="AV125" s="1"/>
      <c r="AW125" s="1"/>
      <c r="AX125" s="1"/>
      <c r="AY125" s="1"/>
      <c r="BA125" s="1"/>
      <c r="BB125" s="1"/>
      <c r="BC125" s="1"/>
      <c r="BD125" s="1"/>
      <c r="BE125" s="1"/>
      <c r="BG125" s="1"/>
      <c r="BH125" s="1"/>
      <c r="BI125" s="1"/>
      <c r="BK125" s="1"/>
      <c r="BL125" s="1"/>
      <c r="BM125" s="1"/>
      <c r="BO125" s="1"/>
      <c r="BP125" s="1"/>
      <c r="BR125" s="1"/>
    </row>
    <row r="126" spans="30:70" x14ac:dyDescent="0.3">
      <c r="AD126" s="1"/>
      <c r="AE126" s="1"/>
      <c r="AF126" s="1"/>
      <c r="AG126" s="1"/>
      <c r="AH126" s="1"/>
      <c r="AI126" s="1"/>
      <c r="AJ126" s="1"/>
      <c r="AL126" s="1"/>
      <c r="AM126" s="1"/>
      <c r="AN126" s="1"/>
      <c r="AO126" s="1"/>
      <c r="AP126" s="1"/>
      <c r="AQ126" s="1"/>
      <c r="AR126" s="1"/>
      <c r="AT126" s="1"/>
      <c r="AU126" s="1"/>
      <c r="AV126" s="1"/>
      <c r="AW126" s="1"/>
      <c r="AX126" s="1"/>
      <c r="AY126" s="1"/>
      <c r="BA126" s="1"/>
      <c r="BB126" s="1"/>
      <c r="BC126" s="1"/>
      <c r="BD126" s="1"/>
      <c r="BE126" s="1"/>
      <c r="BG126" s="1"/>
      <c r="BH126" s="1"/>
      <c r="BI126" s="1"/>
      <c r="BK126" s="1"/>
      <c r="BL126" s="1"/>
      <c r="BM126" s="1"/>
      <c r="BO126" s="1"/>
      <c r="BP126" s="1"/>
      <c r="BR126" s="1"/>
    </row>
    <row r="127" spans="30:70" x14ac:dyDescent="0.3">
      <c r="AD127" s="1"/>
      <c r="AE127" s="1"/>
      <c r="AF127" s="1"/>
      <c r="AG127" s="1"/>
      <c r="AH127" s="1"/>
      <c r="AI127" s="1"/>
      <c r="AJ127" s="1"/>
      <c r="AL127" s="1"/>
      <c r="AM127" s="1"/>
      <c r="AN127" s="1"/>
      <c r="AO127" s="1"/>
      <c r="AP127" s="1"/>
      <c r="AQ127" s="1"/>
      <c r="AR127" s="1"/>
      <c r="AT127" s="1"/>
      <c r="AU127" s="1"/>
      <c r="AV127" s="1"/>
      <c r="AW127" s="1"/>
      <c r="AX127" s="1"/>
      <c r="AY127" s="1"/>
      <c r="BA127" s="1"/>
      <c r="BB127" s="1"/>
      <c r="BC127" s="1"/>
      <c r="BD127" s="1"/>
      <c r="BE127" s="1"/>
      <c r="BG127" s="1"/>
      <c r="BH127" s="1"/>
      <c r="BI127" s="1"/>
      <c r="BK127" s="1"/>
      <c r="BL127" s="1"/>
      <c r="BM127" s="1"/>
      <c r="BO127" s="1"/>
      <c r="BP127" s="1"/>
      <c r="BR127" s="1"/>
    </row>
    <row r="128" spans="30:70" x14ac:dyDescent="0.3">
      <c r="AD128" s="1"/>
      <c r="AE128" s="1"/>
      <c r="AF128" s="1"/>
      <c r="AG128" s="1"/>
      <c r="AH128" s="1"/>
      <c r="AI128" s="1"/>
      <c r="AJ128" s="1"/>
      <c r="AL128" s="1"/>
      <c r="AM128" s="1"/>
      <c r="AN128" s="1"/>
      <c r="AO128" s="1"/>
      <c r="AP128" s="1"/>
      <c r="AQ128" s="1"/>
      <c r="AR128" s="1"/>
      <c r="AT128" s="1"/>
      <c r="AU128" s="1"/>
      <c r="AV128" s="1"/>
      <c r="AW128" s="1"/>
      <c r="AX128" s="1"/>
      <c r="AY128" s="1"/>
      <c r="BA128" s="1"/>
      <c r="BB128" s="1"/>
      <c r="BC128" s="1"/>
      <c r="BD128" s="1"/>
      <c r="BE128" s="1"/>
      <c r="BG128" s="1"/>
      <c r="BH128" s="1"/>
      <c r="BI128" s="1"/>
      <c r="BK128" s="1"/>
      <c r="BL128" s="1"/>
      <c r="BM128" s="1"/>
      <c r="BO128" s="1"/>
      <c r="BP128" s="1"/>
      <c r="BR128" s="1"/>
    </row>
    <row r="129" spans="28:70" x14ac:dyDescent="0.3">
      <c r="AB129" s="20" t="s">
        <v>15</v>
      </c>
      <c r="AD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R129" s="1"/>
      <c r="AT129" s="1"/>
      <c r="AU129" s="1"/>
      <c r="AV129" s="1"/>
      <c r="AW129" s="1"/>
      <c r="AX129" s="1"/>
      <c r="AY129" s="1"/>
      <c r="BA129" s="1"/>
      <c r="BB129" s="1"/>
      <c r="BC129" s="1"/>
      <c r="BD129" s="1"/>
      <c r="BE129" s="1"/>
      <c r="BG129" s="1"/>
      <c r="BH129" s="1"/>
      <c r="BI129" s="1"/>
      <c r="BK129" s="1"/>
      <c r="BL129" s="1"/>
      <c r="BM129" s="1"/>
      <c r="BO129" s="1"/>
      <c r="BP129" s="1"/>
      <c r="BR129" s="1"/>
    </row>
    <row r="130" spans="28:70" x14ac:dyDescent="0.3">
      <c r="AB130" s="12"/>
      <c r="AD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R130" s="1"/>
      <c r="AT130" s="1"/>
      <c r="AU130" s="1"/>
      <c r="AV130" s="1"/>
      <c r="AW130" s="1"/>
      <c r="AX130" s="1"/>
      <c r="AY130" s="1"/>
      <c r="BA130" s="1"/>
      <c r="BB130" s="1"/>
      <c r="BC130" s="1"/>
      <c r="BD130" s="1"/>
      <c r="BE130" s="1"/>
      <c r="BG130" s="1"/>
      <c r="BH130" s="1"/>
      <c r="BI130" s="1"/>
      <c r="BK130" s="1"/>
      <c r="BL130" s="1"/>
      <c r="BM130" s="1"/>
      <c r="BO130" s="1"/>
      <c r="BP130" s="1"/>
      <c r="BR130" s="1"/>
    </row>
    <row r="131" spans="28:70" x14ac:dyDescent="0.3">
      <c r="AB131" s="12"/>
      <c r="AD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R131" s="1"/>
      <c r="AT131" s="1"/>
      <c r="AU131" s="1"/>
      <c r="AV131" s="1"/>
      <c r="AW131" s="1"/>
      <c r="AX131" s="1"/>
      <c r="AY131" s="1"/>
      <c r="BA131" s="1"/>
      <c r="BB131" s="1"/>
      <c r="BC131" s="1"/>
      <c r="BD131" s="1"/>
      <c r="BE131" s="1"/>
      <c r="BG131" s="1"/>
      <c r="BH131" s="1"/>
      <c r="BI131" s="1"/>
      <c r="BK131" s="1"/>
      <c r="BL131" s="1"/>
      <c r="BM131" s="1"/>
      <c r="BO131" s="1"/>
      <c r="BP131" s="1"/>
      <c r="BR131" s="1"/>
    </row>
    <row r="132" spans="28:70" x14ac:dyDescent="0.3">
      <c r="AB132" s="12"/>
      <c r="AD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R132" s="1"/>
      <c r="AT132" s="1"/>
      <c r="AU132" s="1"/>
      <c r="AV132" s="1"/>
      <c r="AW132" s="1"/>
      <c r="AX132" s="1"/>
      <c r="AY132" s="1"/>
      <c r="BA132" s="1"/>
      <c r="BB132" s="1"/>
      <c r="BC132" s="1"/>
      <c r="BD132" s="1"/>
      <c r="BE132" s="1"/>
      <c r="BG132" s="1"/>
      <c r="BH132" s="1"/>
      <c r="BI132" s="1"/>
      <c r="BK132" s="1"/>
      <c r="BL132" s="1"/>
      <c r="BM132" s="1"/>
      <c r="BO132" s="1"/>
      <c r="BP132" s="1"/>
      <c r="BR132" s="1"/>
    </row>
    <row r="133" spans="28:70" x14ac:dyDescent="0.3">
      <c r="AB133" s="12"/>
      <c r="AD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R133" s="1"/>
      <c r="AT133" s="1"/>
      <c r="AU133" s="1"/>
      <c r="AV133" s="1"/>
      <c r="AW133" s="1"/>
      <c r="AX133" s="1"/>
      <c r="AY133" s="1"/>
      <c r="BA133" s="1"/>
      <c r="BB133" s="1"/>
      <c r="BC133" s="1"/>
      <c r="BD133" s="1"/>
      <c r="BE133" s="1"/>
      <c r="BG133" s="1"/>
      <c r="BH133" s="1"/>
      <c r="BI133" s="1"/>
      <c r="BK133" s="1"/>
      <c r="BL133" s="1"/>
      <c r="BM133" s="1"/>
      <c r="BO133" s="1"/>
      <c r="BP133" s="1"/>
      <c r="BR133" s="1"/>
    </row>
    <row r="134" spans="28:70" x14ac:dyDescent="0.3">
      <c r="AB134" s="12"/>
      <c r="AD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R134" s="1"/>
      <c r="AT134" s="1"/>
      <c r="AU134" s="1"/>
      <c r="AV134" s="1"/>
      <c r="AW134" s="1"/>
      <c r="AX134" s="1"/>
      <c r="AY134" s="1"/>
      <c r="BA134" s="1"/>
      <c r="BB134" s="1"/>
      <c r="BC134" s="1"/>
      <c r="BD134" s="1"/>
      <c r="BE134" s="1"/>
      <c r="BG134" s="1"/>
      <c r="BH134" s="1"/>
      <c r="BI134" s="1"/>
      <c r="BK134" s="1"/>
      <c r="BL134" s="1"/>
      <c r="BM134" s="1"/>
      <c r="BO134" s="1"/>
      <c r="BP134" s="1"/>
      <c r="BR134" s="1"/>
    </row>
    <row r="135" spans="28:70" x14ac:dyDescent="0.3">
      <c r="AB135" s="12"/>
      <c r="AD135" s="1"/>
      <c r="AE135" s="1"/>
      <c r="AF135" s="1"/>
      <c r="AG135" s="1"/>
      <c r="AH135" s="1"/>
      <c r="AI135" s="1"/>
      <c r="AJ135" s="1"/>
      <c r="AL135" s="1"/>
      <c r="AM135" s="1"/>
      <c r="AN135" s="1"/>
      <c r="AO135" s="1"/>
      <c r="AP135" s="1"/>
      <c r="AQ135" s="1"/>
      <c r="AR135" s="1"/>
      <c r="AT135" s="1"/>
      <c r="AU135" s="1"/>
      <c r="AV135" s="1"/>
      <c r="AW135" s="1"/>
      <c r="AX135" s="1"/>
      <c r="AY135" s="1"/>
      <c r="BA135" s="1"/>
      <c r="BB135" s="1"/>
      <c r="BC135" s="1"/>
      <c r="BD135" s="1"/>
      <c r="BE135" s="1"/>
      <c r="BG135" s="1"/>
      <c r="BH135" s="1"/>
      <c r="BI135" s="1"/>
      <c r="BK135" s="1"/>
      <c r="BL135" s="1"/>
      <c r="BM135" s="1"/>
      <c r="BO135" s="1"/>
      <c r="BP135" s="1"/>
      <c r="BR135" s="1"/>
    </row>
    <row r="136" spans="28:70" x14ac:dyDescent="0.3">
      <c r="AD136" s="1"/>
      <c r="AE136" s="1"/>
      <c r="AF136" s="1"/>
      <c r="AG136" s="1"/>
      <c r="AH136" s="1"/>
      <c r="AI136" s="1"/>
      <c r="AJ136" s="1"/>
      <c r="AL136" s="1"/>
      <c r="AM136" s="1"/>
      <c r="AN136" s="1"/>
      <c r="AO136" s="1"/>
      <c r="AP136" s="1"/>
      <c r="AQ136" s="1"/>
      <c r="AR136" s="1"/>
      <c r="AT136" s="1"/>
      <c r="AU136" s="1"/>
      <c r="AV136" s="1"/>
      <c r="AW136" s="1"/>
      <c r="AX136" s="1"/>
      <c r="AY136" s="1"/>
      <c r="BA136" s="1"/>
      <c r="BB136" s="1"/>
      <c r="BC136" s="1"/>
      <c r="BD136" s="1"/>
      <c r="BE136" s="1"/>
      <c r="BG136" s="1"/>
      <c r="BH136" s="1"/>
      <c r="BI136" s="1"/>
      <c r="BK136" s="1"/>
      <c r="BL136" s="1"/>
      <c r="BM136" s="1"/>
      <c r="BO136" s="1"/>
      <c r="BP136" s="1"/>
      <c r="BR136" s="1"/>
    </row>
    <row r="137" spans="28:70" x14ac:dyDescent="0.3">
      <c r="AD137" s="1"/>
      <c r="AE137" s="1"/>
      <c r="AF137" s="1"/>
      <c r="AG137" s="1"/>
      <c r="AH137" s="1"/>
      <c r="AI137" s="1"/>
      <c r="AJ137" s="1"/>
      <c r="AL137" s="1"/>
      <c r="AM137" s="1"/>
      <c r="AN137" s="1"/>
      <c r="AO137" s="1"/>
      <c r="AP137" s="1"/>
      <c r="AQ137" s="1"/>
      <c r="AR137" s="1"/>
      <c r="AT137" s="1"/>
      <c r="AU137" s="1"/>
      <c r="AV137" s="1"/>
      <c r="AW137" s="1"/>
      <c r="AX137" s="1"/>
      <c r="AY137" s="1"/>
      <c r="BA137" s="1"/>
      <c r="BB137" s="1"/>
      <c r="BC137" s="1"/>
      <c r="BD137" s="1"/>
      <c r="BE137" s="1"/>
      <c r="BG137" s="1"/>
      <c r="BH137" s="1"/>
      <c r="BI137" s="1"/>
      <c r="BK137" s="1"/>
      <c r="BL137" s="1"/>
      <c r="BM137" s="1"/>
      <c r="BO137" s="1"/>
      <c r="BP137" s="1"/>
      <c r="BR137" s="1"/>
    </row>
    <row r="138" spans="28:70" x14ac:dyDescent="0.3">
      <c r="AD138" s="1"/>
      <c r="AE138" s="1"/>
      <c r="AF138" s="1"/>
      <c r="AG138" s="1"/>
      <c r="AH138" s="1"/>
      <c r="AI138" s="1"/>
      <c r="AJ138" s="1"/>
      <c r="AL138" s="1"/>
      <c r="AM138" s="1"/>
      <c r="AN138" s="1"/>
      <c r="AO138" s="1"/>
      <c r="AP138" s="1"/>
      <c r="AQ138" s="1"/>
      <c r="AR138" s="1"/>
      <c r="AT138" s="1"/>
      <c r="AU138" s="1"/>
      <c r="AV138" s="1"/>
      <c r="AW138" s="1"/>
      <c r="AX138" s="1"/>
      <c r="AY138" s="1"/>
      <c r="BA138" s="1"/>
      <c r="BB138" s="1"/>
      <c r="BC138" s="1"/>
      <c r="BD138" s="1"/>
      <c r="BE138" s="1"/>
      <c r="BG138" s="1"/>
      <c r="BH138" s="1"/>
      <c r="BI138" s="1"/>
      <c r="BK138" s="1"/>
      <c r="BL138" s="1"/>
      <c r="BM138" s="1"/>
      <c r="BO138" s="1"/>
      <c r="BP138" s="1"/>
      <c r="BR138" s="1"/>
    </row>
    <row r="139" spans="28:70" x14ac:dyDescent="0.3">
      <c r="AD139" s="1"/>
      <c r="AE139" s="1"/>
      <c r="AF139" s="1"/>
      <c r="AG139" s="1"/>
      <c r="AH139" s="1"/>
      <c r="AI139" s="1"/>
      <c r="AJ139" s="1"/>
      <c r="AL139" s="1"/>
      <c r="AM139" s="1"/>
      <c r="AN139" s="1"/>
      <c r="AO139" s="1"/>
      <c r="AP139" s="1"/>
      <c r="AQ139" s="1"/>
      <c r="AR139" s="1"/>
      <c r="AT139" s="1"/>
      <c r="AU139" s="1"/>
      <c r="AV139" s="1"/>
      <c r="AW139" s="1"/>
      <c r="AX139" s="1"/>
      <c r="AY139" s="1"/>
      <c r="BA139" s="1"/>
      <c r="BB139" s="1"/>
      <c r="BC139" s="1"/>
      <c r="BD139" s="1"/>
      <c r="BE139" s="1"/>
      <c r="BG139" s="1"/>
      <c r="BH139" s="1"/>
      <c r="BI139" s="1"/>
      <c r="BK139" s="1"/>
      <c r="BL139" s="1"/>
      <c r="BM139" s="1"/>
      <c r="BO139" s="1"/>
      <c r="BP139" s="1"/>
      <c r="BR139" s="1"/>
    </row>
    <row r="140" spans="28:70" x14ac:dyDescent="0.3">
      <c r="AD140" s="1"/>
      <c r="AE140" s="1"/>
      <c r="AF140" s="1"/>
      <c r="AG140" s="1"/>
      <c r="AH140" s="1"/>
      <c r="AI140" s="1"/>
      <c r="AJ140" s="1"/>
      <c r="AL140" s="1"/>
      <c r="AM140" s="1"/>
      <c r="AN140" s="1"/>
      <c r="AO140" s="1"/>
      <c r="AP140" s="1"/>
      <c r="AQ140" s="1"/>
      <c r="AR140" s="1"/>
      <c r="AT140" s="1"/>
      <c r="AU140" s="1"/>
      <c r="AV140" s="1"/>
      <c r="AW140" s="1"/>
      <c r="AX140" s="1"/>
      <c r="AY140" s="1"/>
      <c r="BA140" s="1"/>
      <c r="BB140" s="1"/>
      <c r="BC140" s="1"/>
      <c r="BD140" s="1"/>
      <c r="BE140" s="1"/>
      <c r="BG140" s="1"/>
      <c r="BH140" s="1"/>
      <c r="BI140" s="1"/>
      <c r="BK140" s="1"/>
      <c r="BL140" s="1"/>
      <c r="BM140" s="1"/>
      <c r="BO140" s="1"/>
      <c r="BP140" s="1"/>
      <c r="BR140" s="1"/>
    </row>
    <row r="141" spans="28:70" x14ac:dyDescent="0.3">
      <c r="AD141" s="1"/>
      <c r="AE141" s="1"/>
      <c r="AF141" s="1"/>
      <c r="AG141" s="1"/>
      <c r="AH141" s="1"/>
      <c r="AI141" s="1"/>
      <c r="AJ141" s="1"/>
      <c r="AL141" s="1"/>
      <c r="AM141" s="1"/>
      <c r="AN141" s="1"/>
      <c r="AO141" s="1"/>
      <c r="AP141" s="1"/>
      <c r="AQ141" s="1"/>
      <c r="AR141" s="1"/>
      <c r="AT141" s="1"/>
      <c r="AU141" s="1"/>
      <c r="AV141" s="1"/>
      <c r="AW141" s="1"/>
      <c r="AX141" s="1"/>
      <c r="AY141" s="1"/>
      <c r="BA141" s="1"/>
      <c r="BB141" s="1"/>
      <c r="BC141" s="1"/>
      <c r="BD141" s="1"/>
      <c r="BE141" s="1"/>
      <c r="BG141" s="1"/>
      <c r="BH141" s="1"/>
      <c r="BI141" s="1"/>
      <c r="BK141" s="1"/>
      <c r="BL141" s="1"/>
      <c r="BM141" s="1"/>
      <c r="BO141" s="1"/>
      <c r="BP141" s="1"/>
      <c r="BR141" s="1"/>
    </row>
    <row r="142" spans="28:70" x14ac:dyDescent="0.3">
      <c r="AD142" s="1"/>
      <c r="AE142" s="1"/>
      <c r="AF142" s="1"/>
      <c r="AG142" s="1"/>
      <c r="AH142" s="1"/>
      <c r="AI142" s="1"/>
      <c r="AJ142" s="1"/>
      <c r="AL142" s="1"/>
      <c r="AM142" s="1"/>
      <c r="AN142" s="1"/>
      <c r="AO142" s="1"/>
      <c r="AP142" s="1"/>
      <c r="AQ142" s="1"/>
      <c r="AR142" s="1"/>
      <c r="AT142" s="1"/>
      <c r="AU142" s="1"/>
      <c r="AV142" s="1"/>
      <c r="AW142" s="1"/>
      <c r="AX142" s="1"/>
      <c r="AY142" s="1"/>
      <c r="BA142" s="1"/>
      <c r="BB142" s="1"/>
      <c r="BC142" s="1"/>
      <c r="BD142" s="1"/>
      <c r="BE142" s="1"/>
      <c r="BG142" s="1"/>
      <c r="BH142" s="1"/>
      <c r="BI142" s="1"/>
      <c r="BK142" s="1"/>
      <c r="BL142" s="1"/>
      <c r="BM142" s="1"/>
      <c r="BO142" s="1"/>
      <c r="BP142" s="1"/>
      <c r="BR142" s="1"/>
    </row>
    <row r="143" spans="28:70" x14ac:dyDescent="0.3">
      <c r="AD143" s="1"/>
      <c r="AE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T143" s="1"/>
      <c r="AU143" s="1"/>
      <c r="AV143" s="1"/>
      <c r="AW143" s="1"/>
      <c r="AX143" s="1"/>
      <c r="AY143" s="1"/>
      <c r="BA143" s="1"/>
      <c r="BB143" s="1"/>
      <c r="BC143" s="1"/>
      <c r="BD143" s="1"/>
      <c r="BE143" s="1"/>
      <c r="BG143" s="1"/>
      <c r="BH143" s="1"/>
      <c r="BI143" s="1"/>
      <c r="BK143" s="1"/>
      <c r="BL143" s="1"/>
      <c r="BM143" s="1"/>
      <c r="BO143" s="1"/>
      <c r="BP143" s="1"/>
      <c r="BR143" s="1"/>
    </row>
    <row r="144" spans="28:70" x14ac:dyDescent="0.3">
      <c r="AD144" s="1"/>
      <c r="AE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T144" s="1"/>
      <c r="AU144" s="1"/>
      <c r="AV144" s="1"/>
      <c r="AW144" s="1"/>
      <c r="AX144" s="1"/>
      <c r="AY144" s="1"/>
      <c r="BA144" s="1"/>
      <c r="BB144" s="1"/>
      <c r="BC144" s="1"/>
      <c r="BD144" s="1"/>
      <c r="BE144" s="1"/>
      <c r="BG144" s="1"/>
      <c r="BH144" s="1"/>
      <c r="BI144" s="1"/>
      <c r="BK144" s="1"/>
      <c r="BL144" s="1"/>
      <c r="BM144" s="1"/>
      <c r="BO144" s="1"/>
      <c r="BP144" s="1"/>
      <c r="BR144" s="1"/>
    </row>
    <row r="145" spans="30:70" x14ac:dyDescent="0.3">
      <c r="AD145" s="1"/>
      <c r="AE145" s="1"/>
      <c r="AF145" s="1"/>
      <c r="AG145" s="1"/>
      <c r="AH145" s="1"/>
      <c r="AI145" s="1"/>
      <c r="AJ145" s="1"/>
      <c r="AL145" s="1"/>
      <c r="AM145" s="1"/>
      <c r="AN145" s="1"/>
      <c r="AO145" s="1"/>
      <c r="AP145" s="1"/>
      <c r="AQ145" s="1"/>
      <c r="AR145" s="1"/>
      <c r="AT145" s="1"/>
      <c r="AU145" s="1"/>
      <c r="AV145" s="1"/>
      <c r="AW145" s="1"/>
      <c r="AX145" s="1"/>
      <c r="AY145" s="1"/>
      <c r="BA145" s="1"/>
      <c r="BB145" s="1"/>
      <c r="BC145" s="1"/>
      <c r="BD145" s="1"/>
      <c r="BE145" s="1"/>
      <c r="BG145" s="1"/>
      <c r="BH145" s="1"/>
      <c r="BI145" s="1"/>
      <c r="BK145" s="1"/>
      <c r="BL145" s="1"/>
      <c r="BM145" s="1"/>
      <c r="BO145" s="1"/>
      <c r="BP145" s="1"/>
      <c r="BR1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c2 (2)</vt:lpstr>
      <vt:lpstr>final c6 (3)</vt:lpstr>
      <vt:lpstr>Sheet1</vt:lpstr>
      <vt:lpstr>final c5 (2)</vt:lpstr>
      <vt:lpstr>final c4</vt:lpstr>
      <vt:lpstr>final c3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Jafir Sulaiman Sathath Ali</dc:creator>
  <cp:keywords/>
  <dc:description/>
  <cp:lastModifiedBy>Jafir Sulaiman Sathath Ali</cp:lastModifiedBy>
  <cp:revision/>
  <dcterms:created xsi:type="dcterms:W3CDTF">2025-07-31T22:11:52Z</dcterms:created>
  <dcterms:modified xsi:type="dcterms:W3CDTF">2025-12-23T17:37:50Z</dcterms:modified>
  <cp:category/>
  <cp:contentStatus/>
</cp:coreProperties>
</file>